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cpafr-my.sharepoint.com/personal/y_marti_normandiecabourgpaysdauge_fr/Documents/DIMENSIONNEMENT/"/>
    </mc:Choice>
  </mc:AlternateContent>
  <xr:revisionPtr revIDLastSave="7" documentId="8_{9DE1C2FC-8033-4EDD-84BE-F0BBCE7CDB1C}" xr6:coauthVersionLast="47" xr6:coauthVersionMax="47" xr10:uidLastSave="{DD845404-E1F2-4DB1-A6F0-28DD3AF72A08}"/>
  <bookViews>
    <workbookView xWindow="-120" yWindow="-120" windowWidth="29040" windowHeight="15720" tabRatio="500" xr2:uid="{00000000-000D-0000-FFFF-FFFF00000000}"/>
  </bookViews>
  <sheets>
    <sheet name="RETROPLANNING_VISUEL" sheetId="4" r:id="rId1"/>
    <sheet name="RETROPLANNING" sheetId="1" r:id="rId2"/>
    <sheet name="SYNTHESE_TRAVAUX" sheetId="2" r:id="rId3"/>
    <sheet name="CHANTIERS" sheetId="3" r:id="rId4"/>
    <sheet name="Feuil1" sheetId="5" r:id="rId5"/>
  </sheets>
  <definedNames>
    <definedName name="_xlnm.Print_Titles" localSheetId="0">RETROPLANNING_VISUEL!$5:$6</definedName>
    <definedName name="Segment_Nom_commune">#N/A</definedName>
    <definedName name="Segment_Type_chantier">#N/A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" l="1"/>
  <c r="N19" i="1"/>
  <c r="O19" i="1"/>
  <c r="P19" i="1"/>
  <c r="Q19" i="1"/>
  <c r="R19" i="1"/>
  <c r="S19" i="1"/>
  <c r="T19" i="1"/>
  <c r="U19" i="1"/>
  <c r="V19" i="1"/>
  <c r="W19" i="1"/>
  <c r="X19" i="1"/>
  <c r="M20" i="1"/>
  <c r="N20" i="1"/>
  <c r="O20" i="1"/>
  <c r="P20" i="1"/>
  <c r="Q20" i="1"/>
  <c r="R20" i="1"/>
  <c r="S20" i="1"/>
  <c r="T20" i="1"/>
  <c r="U20" i="1"/>
  <c r="V20" i="1"/>
  <c r="W20" i="1"/>
  <c r="X20" i="1"/>
  <c r="M21" i="1"/>
  <c r="N21" i="1"/>
  <c r="O21" i="1"/>
  <c r="P21" i="1"/>
  <c r="Q21" i="1"/>
  <c r="R21" i="1"/>
  <c r="S21" i="1"/>
  <c r="T21" i="1"/>
  <c r="U21" i="1"/>
  <c r="V21" i="1"/>
  <c r="W21" i="1"/>
  <c r="X21" i="1"/>
  <c r="M22" i="1"/>
  <c r="N22" i="1"/>
  <c r="O22" i="1"/>
  <c r="P22" i="1"/>
  <c r="Q22" i="1"/>
  <c r="R22" i="1"/>
  <c r="S22" i="1"/>
  <c r="T22" i="1"/>
  <c r="U22" i="1"/>
  <c r="V22" i="1"/>
  <c r="W22" i="1"/>
  <c r="X22" i="1"/>
  <c r="M23" i="1"/>
  <c r="N23" i="1"/>
  <c r="O23" i="1"/>
  <c r="P23" i="1"/>
  <c r="Q23" i="1"/>
  <c r="R23" i="1"/>
  <c r="S23" i="1"/>
  <c r="T23" i="1"/>
  <c r="U23" i="1"/>
  <c r="V23" i="1"/>
  <c r="W23" i="1"/>
  <c r="X23" i="1"/>
  <c r="M24" i="1"/>
  <c r="N24" i="1"/>
  <c r="O24" i="1"/>
  <c r="P24" i="1"/>
  <c r="Q24" i="1"/>
  <c r="R24" i="1"/>
  <c r="S24" i="1"/>
  <c r="T24" i="1"/>
  <c r="U24" i="1"/>
  <c r="V24" i="1"/>
  <c r="W24" i="1"/>
  <c r="X24" i="1"/>
  <c r="M25" i="1"/>
  <c r="N25" i="1"/>
  <c r="O25" i="1"/>
  <c r="P25" i="1"/>
  <c r="Q25" i="1"/>
  <c r="R25" i="1"/>
  <c r="S25" i="1"/>
  <c r="T25" i="1"/>
  <c r="U25" i="1"/>
  <c r="V25" i="1"/>
  <c r="W25" i="1"/>
  <c r="X25" i="1"/>
  <c r="M26" i="1"/>
  <c r="N26" i="1"/>
  <c r="O26" i="1"/>
  <c r="P26" i="1"/>
  <c r="Q26" i="1"/>
  <c r="R26" i="1"/>
  <c r="S26" i="1"/>
  <c r="T26" i="1"/>
  <c r="U26" i="1"/>
  <c r="V26" i="1"/>
  <c r="W26" i="1"/>
  <c r="X26" i="1"/>
  <c r="M27" i="1"/>
  <c r="N27" i="1"/>
  <c r="O27" i="1"/>
  <c r="P27" i="1"/>
  <c r="Q27" i="1"/>
  <c r="R27" i="1"/>
  <c r="S27" i="1"/>
  <c r="T27" i="1"/>
  <c r="U27" i="1"/>
  <c r="V27" i="1"/>
  <c r="W27" i="1"/>
  <c r="X27" i="1"/>
  <c r="M28" i="1"/>
  <c r="N28" i="1"/>
  <c r="O28" i="1"/>
  <c r="P28" i="1"/>
  <c r="Q28" i="1"/>
  <c r="R28" i="1"/>
  <c r="S28" i="1"/>
  <c r="T28" i="1"/>
  <c r="U28" i="1"/>
  <c r="V28" i="1"/>
  <c r="W28" i="1"/>
  <c r="X28" i="1"/>
  <c r="M29" i="1"/>
  <c r="N29" i="1"/>
  <c r="O29" i="1"/>
  <c r="P29" i="1"/>
  <c r="Q29" i="1"/>
  <c r="R29" i="1"/>
  <c r="S29" i="1"/>
  <c r="T29" i="1"/>
  <c r="U29" i="1"/>
  <c r="V29" i="1"/>
  <c r="W29" i="1"/>
  <c r="X29" i="1"/>
  <c r="M30" i="1"/>
  <c r="N30" i="1"/>
  <c r="O30" i="1"/>
  <c r="P30" i="1"/>
  <c r="Q30" i="1"/>
  <c r="R30" i="1"/>
  <c r="S30" i="1"/>
  <c r="T30" i="1"/>
  <c r="U30" i="1"/>
  <c r="V30" i="1"/>
  <c r="W30" i="1"/>
  <c r="X30" i="1"/>
  <c r="M31" i="1"/>
  <c r="N31" i="1"/>
  <c r="O31" i="1"/>
  <c r="P31" i="1"/>
  <c r="Q31" i="1"/>
  <c r="R31" i="1"/>
  <c r="S31" i="1"/>
  <c r="T31" i="1"/>
  <c r="U31" i="1"/>
  <c r="V31" i="1"/>
  <c r="W31" i="1"/>
  <c r="X31" i="1"/>
  <c r="M32" i="1"/>
  <c r="N32" i="1"/>
  <c r="O32" i="1"/>
  <c r="P32" i="1"/>
  <c r="Q32" i="1"/>
  <c r="R32" i="1"/>
  <c r="S32" i="1"/>
  <c r="T32" i="1"/>
  <c r="U32" i="1"/>
  <c r="V32" i="1"/>
  <c r="W32" i="1"/>
  <c r="X32" i="1"/>
  <c r="M33" i="1"/>
  <c r="N33" i="1"/>
  <c r="O33" i="1"/>
  <c r="P33" i="1"/>
  <c r="Q33" i="1"/>
  <c r="R33" i="1"/>
  <c r="S33" i="1"/>
  <c r="T33" i="1"/>
  <c r="U33" i="1"/>
  <c r="V33" i="1"/>
  <c r="W33" i="1"/>
  <c r="X33" i="1"/>
  <c r="M34" i="1"/>
  <c r="N34" i="1"/>
  <c r="O34" i="1"/>
  <c r="P34" i="1"/>
  <c r="Q34" i="1"/>
  <c r="R34" i="1"/>
  <c r="S34" i="1"/>
  <c r="T34" i="1"/>
  <c r="U34" i="1"/>
  <c r="V34" i="1"/>
  <c r="W34" i="1"/>
  <c r="X34" i="1"/>
  <c r="M35" i="1"/>
  <c r="N35" i="1"/>
  <c r="O35" i="1"/>
  <c r="P35" i="1"/>
  <c r="Q35" i="1"/>
  <c r="R35" i="1"/>
  <c r="S35" i="1"/>
  <c r="T35" i="1"/>
  <c r="U35" i="1"/>
  <c r="V35" i="1"/>
  <c r="W35" i="1"/>
  <c r="X35" i="1"/>
  <c r="M36" i="1"/>
  <c r="N36" i="1"/>
  <c r="O36" i="1"/>
  <c r="P36" i="1"/>
  <c r="Q36" i="1"/>
  <c r="R36" i="1"/>
  <c r="S36" i="1"/>
  <c r="T36" i="1"/>
  <c r="U36" i="1"/>
  <c r="V36" i="1"/>
  <c r="W36" i="1"/>
  <c r="X36" i="1"/>
  <c r="M37" i="1"/>
  <c r="N37" i="1"/>
  <c r="O37" i="1"/>
  <c r="P37" i="1"/>
  <c r="Q37" i="1"/>
  <c r="R37" i="1"/>
  <c r="S37" i="1"/>
  <c r="T37" i="1"/>
  <c r="U37" i="1"/>
  <c r="V37" i="1"/>
  <c r="W37" i="1"/>
  <c r="X37" i="1"/>
  <c r="M38" i="1"/>
  <c r="N38" i="1"/>
  <c r="O38" i="1"/>
  <c r="P38" i="1"/>
  <c r="Q38" i="1"/>
  <c r="R38" i="1"/>
  <c r="S38" i="1"/>
  <c r="T38" i="1"/>
  <c r="U38" i="1"/>
  <c r="V38" i="1"/>
  <c r="W38" i="1"/>
  <c r="X38" i="1"/>
  <c r="M39" i="1"/>
  <c r="N39" i="1"/>
  <c r="O39" i="1"/>
  <c r="P39" i="1"/>
  <c r="Q39" i="1"/>
  <c r="R39" i="1"/>
  <c r="S39" i="1"/>
  <c r="T39" i="1"/>
  <c r="U39" i="1"/>
  <c r="V39" i="1"/>
  <c r="W39" i="1"/>
  <c r="X39" i="1"/>
  <c r="M40" i="1"/>
  <c r="N40" i="1"/>
  <c r="O40" i="1"/>
  <c r="P40" i="1"/>
  <c r="Q40" i="1"/>
  <c r="R40" i="1"/>
  <c r="S40" i="1"/>
  <c r="T40" i="1"/>
  <c r="U40" i="1"/>
  <c r="V40" i="1"/>
  <c r="W40" i="1"/>
  <c r="X40" i="1"/>
  <c r="M41" i="1"/>
  <c r="N41" i="1"/>
  <c r="O41" i="1"/>
  <c r="P41" i="1"/>
  <c r="Q41" i="1"/>
  <c r="R41" i="1"/>
  <c r="S41" i="1"/>
  <c r="T41" i="1"/>
  <c r="U41" i="1"/>
  <c r="V41" i="1"/>
  <c r="W41" i="1"/>
  <c r="X41" i="1"/>
  <c r="M42" i="1"/>
  <c r="N42" i="1"/>
  <c r="O42" i="1"/>
  <c r="P42" i="1"/>
  <c r="Q42" i="1"/>
  <c r="R42" i="1"/>
  <c r="S42" i="1"/>
  <c r="T42" i="1"/>
  <c r="U42" i="1"/>
  <c r="V42" i="1"/>
  <c r="W42" i="1"/>
  <c r="X42" i="1"/>
  <c r="M43" i="1"/>
  <c r="N43" i="1"/>
  <c r="O43" i="1"/>
  <c r="P43" i="1"/>
  <c r="Q43" i="1"/>
  <c r="R43" i="1"/>
  <c r="S43" i="1"/>
  <c r="T43" i="1"/>
  <c r="U43" i="1"/>
  <c r="V43" i="1"/>
  <c r="W43" i="1"/>
  <c r="X43" i="1"/>
  <c r="M44" i="1"/>
  <c r="N44" i="1"/>
  <c r="O44" i="1"/>
  <c r="P44" i="1"/>
  <c r="Q44" i="1"/>
  <c r="R44" i="1"/>
  <c r="S44" i="1"/>
  <c r="T44" i="1"/>
  <c r="U44" i="1"/>
  <c r="V44" i="1"/>
  <c r="W44" i="1"/>
  <c r="X44" i="1"/>
  <c r="M45" i="1"/>
  <c r="N45" i="1"/>
  <c r="O45" i="1"/>
  <c r="P45" i="1"/>
  <c r="Q45" i="1"/>
  <c r="R45" i="1"/>
  <c r="S45" i="1"/>
  <c r="T45" i="1"/>
  <c r="U45" i="1"/>
  <c r="V45" i="1"/>
  <c r="W45" i="1"/>
  <c r="X45" i="1"/>
  <c r="M46" i="1"/>
  <c r="N46" i="1"/>
  <c r="O46" i="1"/>
  <c r="P46" i="1"/>
  <c r="Q46" i="1"/>
  <c r="R46" i="1"/>
  <c r="S46" i="1"/>
  <c r="T46" i="1"/>
  <c r="U46" i="1"/>
  <c r="V46" i="1"/>
  <c r="W46" i="1"/>
  <c r="X46" i="1"/>
  <c r="M47" i="1"/>
  <c r="N47" i="1"/>
  <c r="O47" i="1"/>
  <c r="P47" i="1"/>
  <c r="Q47" i="1"/>
  <c r="R47" i="1"/>
  <c r="S47" i="1"/>
  <c r="T47" i="1"/>
  <c r="U47" i="1"/>
  <c r="V47" i="1"/>
  <c r="W47" i="1"/>
  <c r="X47" i="1"/>
  <c r="M48" i="1"/>
  <c r="N48" i="1"/>
  <c r="O48" i="1"/>
  <c r="P48" i="1"/>
  <c r="Q48" i="1"/>
  <c r="R48" i="1"/>
  <c r="S48" i="1"/>
  <c r="T48" i="1"/>
  <c r="U48" i="1"/>
  <c r="V48" i="1"/>
  <c r="W48" i="1"/>
  <c r="X48" i="1"/>
  <c r="M49" i="1"/>
  <c r="N49" i="1"/>
  <c r="O49" i="1"/>
  <c r="P49" i="1"/>
  <c r="Q49" i="1"/>
  <c r="R49" i="1"/>
  <c r="S49" i="1"/>
  <c r="T49" i="1"/>
  <c r="U49" i="1"/>
  <c r="V49" i="1"/>
  <c r="W49" i="1"/>
  <c r="X49" i="1"/>
  <c r="M50" i="1"/>
  <c r="N50" i="1"/>
  <c r="O50" i="1"/>
  <c r="P50" i="1"/>
  <c r="Q50" i="1"/>
  <c r="R50" i="1"/>
  <c r="S50" i="1"/>
  <c r="T50" i="1"/>
  <c r="U50" i="1"/>
  <c r="V50" i="1"/>
  <c r="W50" i="1"/>
  <c r="X50" i="1"/>
  <c r="M51" i="1"/>
  <c r="N51" i="1"/>
  <c r="O51" i="1"/>
  <c r="P51" i="1"/>
  <c r="Q51" i="1"/>
  <c r="R51" i="1"/>
  <c r="S51" i="1"/>
  <c r="T51" i="1"/>
  <c r="U51" i="1"/>
  <c r="V51" i="1"/>
  <c r="W51" i="1"/>
  <c r="X51" i="1"/>
  <c r="M52" i="1"/>
  <c r="N52" i="1"/>
  <c r="O52" i="1"/>
  <c r="P52" i="1"/>
  <c r="Q52" i="1"/>
  <c r="R52" i="1"/>
  <c r="S52" i="1"/>
  <c r="T52" i="1"/>
  <c r="U52" i="1"/>
  <c r="V52" i="1"/>
  <c r="W52" i="1"/>
  <c r="X52" i="1"/>
  <c r="M53" i="1"/>
  <c r="N53" i="1"/>
  <c r="O53" i="1"/>
  <c r="P53" i="1"/>
  <c r="Q53" i="1"/>
  <c r="R53" i="1"/>
  <c r="S53" i="1"/>
  <c r="T53" i="1"/>
  <c r="U53" i="1"/>
  <c r="V53" i="1"/>
  <c r="W53" i="1"/>
  <c r="X53" i="1"/>
  <c r="M54" i="1"/>
  <c r="N54" i="1"/>
  <c r="O54" i="1"/>
  <c r="P54" i="1"/>
  <c r="Q54" i="1"/>
  <c r="R54" i="1"/>
  <c r="S54" i="1"/>
  <c r="T54" i="1"/>
  <c r="U54" i="1"/>
  <c r="V54" i="1"/>
  <c r="W54" i="1"/>
  <c r="X54" i="1"/>
  <c r="M55" i="1"/>
  <c r="N55" i="1"/>
  <c r="O55" i="1"/>
  <c r="P55" i="1"/>
  <c r="Q55" i="1"/>
  <c r="R55" i="1"/>
  <c r="S55" i="1"/>
  <c r="T55" i="1"/>
  <c r="U55" i="1"/>
  <c r="V55" i="1"/>
  <c r="W55" i="1"/>
  <c r="X55" i="1"/>
  <c r="M56" i="1"/>
  <c r="N56" i="1"/>
  <c r="O56" i="1"/>
  <c r="P56" i="1"/>
  <c r="Q56" i="1"/>
  <c r="R56" i="1"/>
  <c r="S56" i="1"/>
  <c r="T56" i="1"/>
  <c r="U56" i="1"/>
  <c r="V56" i="1"/>
  <c r="W56" i="1"/>
  <c r="X56" i="1"/>
  <c r="M57" i="1"/>
  <c r="N57" i="1"/>
  <c r="O57" i="1"/>
  <c r="P57" i="1"/>
  <c r="Q57" i="1"/>
  <c r="R57" i="1"/>
  <c r="S57" i="1"/>
  <c r="T57" i="1"/>
  <c r="U57" i="1"/>
  <c r="V57" i="1"/>
  <c r="W57" i="1"/>
  <c r="X57" i="1"/>
  <c r="M58" i="1"/>
  <c r="N58" i="1"/>
  <c r="O58" i="1"/>
  <c r="P58" i="1"/>
  <c r="Q58" i="1"/>
  <c r="R58" i="1"/>
  <c r="S58" i="1"/>
  <c r="T58" i="1"/>
  <c r="U58" i="1"/>
  <c r="V58" i="1"/>
  <c r="W58" i="1"/>
  <c r="X58" i="1"/>
  <c r="M59" i="1"/>
  <c r="N59" i="1"/>
  <c r="O59" i="1"/>
  <c r="P59" i="1"/>
  <c r="Q59" i="1"/>
  <c r="R59" i="1"/>
  <c r="S59" i="1"/>
  <c r="T59" i="1"/>
  <c r="U59" i="1"/>
  <c r="V59" i="1"/>
  <c r="W59" i="1"/>
  <c r="X59" i="1"/>
  <c r="M60" i="1"/>
  <c r="N60" i="1"/>
  <c r="O60" i="1"/>
  <c r="P60" i="1"/>
  <c r="Q60" i="1"/>
  <c r="R60" i="1"/>
  <c r="S60" i="1"/>
  <c r="T60" i="1"/>
  <c r="U60" i="1"/>
  <c r="V60" i="1"/>
  <c r="W60" i="1"/>
  <c r="X60" i="1"/>
  <c r="M61" i="1"/>
  <c r="N61" i="1"/>
  <c r="O61" i="1"/>
  <c r="P61" i="1"/>
  <c r="Q61" i="1"/>
  <c r="R61" i="1"/>
  <c r="S61" i="1"/>
  <c r="T61" i="1"/>
  <c r="U61" i="1"/>
  <c r="V61" i="1"/>
  <c r="W61" i="1"/>
  <c r="X61" i="1"/>
  <c r="M62" i="1"/>
  <c r="N62" i="1"/>
  <c r="O62" i="1"/>
  <c r="P62" i="1"/>
  <c r="Q62" i="1"/>
  <c r="R62" i="1"/>
  <c r="S62" i="1"/>
  <c r="T62" i="1"/>
  <c r="U62" i="1"/>
  <c r="V62" i="1"/>
  <c r="W62" i="1"/>
  <c r="X62" i="1"/>
  <c r="M63" i="1"/>
  <c r="N63" i="1"/>
  <c r="O63" i="1"/>
  <c r="P63" i="1"/>
  <c r="Q63" i="1"/>
  <c r="R63" i="1"/>
  <c r="S63" i="1"/>
  <c r="T63" i="1"/>
  <c r="U63" i="1"/>
  <c r="V63" i="1"/>
  <c r="W63" i="1"/>
  <c r="X63" i="1"/>
  <c r="M64" i="1"/>
  <c r="N64" i="1"/>
  <c r="O64" i="1"/>
  <c r="P64" i="1"/>
  <c r="Q64" i="1"/>
  <c r="R64" i="1"/>
  <c r="S64" i="1"/>
  <c r="T64" i="1"/>
  <c r="U64" i="1"/>
  <c r="V64" i="1"/>
  <c r="W64" i="1"/>
  <c r="X64" i="1"/>
  <c r="M65" i="1"/>
  <c r="N65" i="1"/>
  <c r="O65" i="1"/>
  <c r="P65" i="1"/>
  <c r="Q65" i="1"/>
  <c r="R65" i="1"/>
  <c r="S65" i="1"/>
  <c r="T65" i="1"/>
  <c r="U65" i="1"/>
  <c r="V65" i="1"/>
  <c r="W65" i="1"/>
  <c r="X65" i="1"/>
  <c r="M66" i="1"/>
  <c r="N66" i="1"/>
  <c r="O66" i="1"/>
  <c r="P66" i="1"/>
  <c r="Q66" i="1"/>
  <c r="R66" i="1"/>
  <c r="S66" i="1"/>
  <c r="T66" i="1"/>
  <c r="U66" i="1"/>
  <c r="V66" i="1"/>
  <c r="W66" i="1"/>
  <c r="X66" i="1"/>
  <c r="M67" i="1"/>
  <c r="N67" i="1"/>
  <c r="O67" i="1"/>
  <c r="P67" i="1"/>
  <c r="Q67" i="1"/>
  <c r="R67" i="1"/>
  <c r="S67" i="1"/>
  <c r="T67" i="1"/>
  <c r="U67" i="1"/>
  <c r="V67" i="1"/>
  <c r="W67" i="1"/>
  <c r="X67" i="1"/>
  <c r="M68" i="1"/>
  <c r="N68" i="1"/>
  <c r="O68" i="1"/>
  <c r="P68" i="1"/>
  <c r="Q68" i="1"/>
  <c r="R68" i="1"/>
  <c r="S68" i="1"/>
  <c r="T68" i="1"/>
  <c r="U68" i="1"/>
  <c r="V68" i="1"/>
  <c r="W68" i="1"/>
  <c r="X68" i="1"/>
  <c r="M69" i="1"/>
  <c r="N69" i="1"/>
  <c r="O69" i="1"/>
  <c r="P69" i="1"/>
  <c r="Q69" i="1"/>
  <c r="R69" i="1"/>
  <c r="S69" i="1"/>
  <c r="T69" i="1"/>
  <c r="U69" i="1"/>
  <c r="V69" i="1"/>
  <c r="W69" i="1"/>
  <c r="X69" i="1"/>
  <c r="M70" i="1"/>
  <c r="N70" i="1"/>
  <c r="O70" i="1"/>
  <c r="P70" i="1"/>
  <c r="Q70" i="1"/>
  <c r="R70" i="1"/>
  <c r="S70" i="1"/>
  <c r="T70" i="1"/>
  <c r="U70" i="1"/>
  <c r="V70" i="1"/>
  <c r="W70" i="1"/>
  <c r="X70" i="1"/>
  <c r="M71" i="1"/>
  <c r="N71" i="1"/>
  <c r="O71" i="1"/>
  <c r="P71" i="1"/>
  <c r="Q71" i="1"/>
  <c r="R71" i="1"/>
  <c r="S71" i="1"/>
  <c r="T71" i="1"/>
  <c r="U71" i="1"/>
  <c r="V71" i="1"/>
  <c r="W71" i="1"/>
  <c r="X71" i="1"/>
  <c r="M72" i="1"/>
  <c r="N72" i="1"/>
  <c r="O72" i="1"/>
  <c r="P72" i="1"/>
  <c r="Q72" i="1"/>
  <c r="R72" i="1"/>
  <c r="S72" i="1"/>
  <c r="T72" i="1"/>
  <c r="U72" i="1"/>
  <c r="V72" i="1"/>
  <c r="W72" i="1"/>
  <c r="X72" i="1"/>
  <c r="M73" i="1"/>
  <c r="N73" i="1"/>
  <c r="O73" i="1"/>
  <c r="P73" i="1"/>
  <c r="Q73" i="1"/>
  <c r="R73" i="1"/>
  <c r="S73" i="1"/>
  <c r="T73" i="1"/>
  <c r="U73" i="1"/>
  <c r="V73" i="1"/>
  <c r="W73" i="1"/>
  <c r="X73" i="1"/>
  <c r="M74" i="1"/>
  <c r="N74" i="1"/>
  <c r="O74" i="1"/>
  <c r="P74" i="1"/>
  <c r="Q74" i="1"/>
  <c r="R74" i="1"/>
  <c r="S74" i="1"/>
  <c r="T74" i="1"/>
  <c r="U74" i="1"/>
  <c r="V74" i="1"/>
  <c r="W74" i="1"/>
  <c r="X74" i="1"/>
  <c r="M75" i="1"/>
  <c r="N75" i="1"/>
  <c r="O75" i="1"/>
  <c r="P75" i="1"/>
  <c r="Q75" i="1"/>
  <c r="R75" i="1"/>
  <c r="S75" i="1"/>
  <c r="T75" i="1"/>
  <c r="U75" i="1"/>
  <c r="V75" i="1"/>
  <c r="W75" i="1"/>
  <c r="X75" i="1"/>
  <c r="M76" i="1"/>
  <c r="N76" i="1"/>
  <c r="O76" i="1"/>
  <c r="P76" i="1"/>
  <c r="Q76" i="1"/>
  <c r="R76" i="1"/>
  <c r="S76" i="1"/>
  <c r="T76" i="1"/>
  <c r="U76" i="1"/>
  <c r="V76" i="1"/>
  <c r="W76" i="1"/>
  <c r="X76" i="1"/>
  <c r="M77" i="1"/>
  <c r="N77" i="1"/>
  <c r="O77" i="1"/>
  <c r="P77" i="1"/>
  <c r="Q77" i="1"/>
  <c r="R77" i="1"/>
  <c r="S77" i="1"/>
  <c r="T77" i="1"/>
  <c r="U77" i="1"/>
  <c r="V77" i="1"/>
  <c r="W77" i="1"/>
  <c r="X77" i="1"/>
  <c r="M78" i="1"/>
  <c r="N78" i="1"/>
  <c r="O78" i="1"/>
  <c r="P78" i="1"/>
  <c r="Q78" i="1"/>
  <c r="R78" i="1"/>
  <c r="S78" i="1"/>
  <c r="T78" i="1"/>
  <c r="U78" i="1"/>
  <c r="V78" i="1"/>
  <c r="W78" i="1"/>
  <c r="X78" i="1"/>
  <c r="M79" i="1"/>
  <c r="N79" i="1"/>
  <c r="O79" i="1"/>
  <c r="P79" i="1"/>
  <c r="Q79" i="1"/>
  <c r="R79" i="1"/>
  <c r="S79" i="1"/>
  <c r="T79" i="1"/>
  <c r="U79" i="1"/>
  <c r="V79" i="1"/>
  <c r="W79" i="1"/>
  <c r="X79" i="1"/>
  <c r="M80" i="1"/>
  <c r="N80" i="1"/>
  <c r="O80" i="1"/>
  <c r="P80" i="1"/>
  <c r="Q80" i="1"/>
  <c r="R80" i="1"/>
  <c r="S80" i="1"/>
  <c r="T80" i="1"/>
  <c r="U80" i="1"/>
  <c r="V80" i="1"/>
  <c r="W80" i="1"/>
  <c r="X80" i="1"/>
  <c r="M81" i="1"/>
  <c r="N81" i="1"/>
  <c r="O81" i="1"/>
  <c r="P81" i="1"/>
  <c r="Q81" i="1"/>
  <c r="R81" i="1"/>
  <c r="S81" i="1"/>
  <c r="T81" i="1"/>
  <c r="U81" i="1"/>
  <c r="V81" i="1"/>
  <c r="W81" i="1"/>
  <c r="X81" i="1"/>
  <c r="M82" i="1"/>
  <c r="N82" i="1"/>
  <c r="O82" i="1"/>
  <c r="P82" i="1"/>
  <c r="Q82" i="1"/>
  <c r="R82" i="1"/>
  <c r="S82" i="1"/>
  <c r="T82" i="1"/>
  <c r="U82" i="1"/>
  <c r="V82" i="1"/>
  <c r="W82" i="1"/>
  <c r="X82" i="1"/>
  <c r="M83" i="1"/>
  <c r="N83" i="1"/>
  <c r="O83" i="1"/>
  <c r="P83" i="1"/>
  <c r="Q83" i="1"/>
  <c r="R83" i="1"/>
  <c r="S83" i="1"/>
  <c r="T83" i="1"/>
  <c r="U83" i="1"/>
  <c r="V83" i="1"/>
  <c r="W83" i="1"/>
  <c r="X83" i="1"/>
  <c r="M84" i="1"/>
  <c r="N84" i="1"/>
  <c r="O84" i="1"/>
  <c r="P84" i="1"/>
  <c r="Q84" i="1"/>
  <c r="R84" i="1"/>
  <c r="S84" i="1"/>
  <c r="T84" i="1"/>
  <c r="U84" i="1"/>
  <c r="V84" i="1"/>
  <c r="W84" i="1"/>
  <c r="X84" i="1"/>
  <c r="M85" i="1"/>
  <c r="N85" i="1"/>
  <c r="O85" i="1"/>
  <c r="P85" i="1"/>
  <c r="Q85" i="1"/>
  <c r="R85" i="1"/>
  <c r="S85" i="1"/>
  <c r="T85" i="1"/>
  <c r="U85" i="1"/>
  <c r="V85" i="1"/>
  <c r="W85" i="1"/>
  <c r="X85" i="1"/>
  <c r="M86" i="1"/>
  <c r="N86" i="1"/>
  <c r="O86" i="1"/>
  <c r="P86" i="1"/>
  <c r="Q86" i="1"/>
  <c r="R86" i="1"/>
  <c r="S86" i="1"/>
  <c r="T86" i="1"/>
  <c r="U86" i="1"/>
  <c r="V86" i="1"/>
  <c r="W86" i="1"/>
  <c r="X86" i="1"/>
  <c r="M87" i="1"/>
  <c r="N87" i="1"/>
  <c r="O87" i="1"/>
  <c r="P87" i="1"/>
  <c r="Q87" i="1"/>
  <c r="R87" i="1"/>
  <c r="S87" i="1"/>
  <c r="T87" i="1"/>
  <c r="U87" i="1"/>
  <c r="V87" i="1"/>
  <c r="W87" i="1"/>
  <c r="X87" i="1"/>
  <c r="M88" i="1"/>
  <c r="N88" i="1"/>
  <c r="O88" i="1"/>
  <c r="P88" i="1"/>
  <c r="Q88" i="1"/>
  <c r="R88" i="1"/>
  <c r="S88" i="1"/>
  <c r="T88" i="1"/>
  <c r="U88" i="1"/>
  <c r="V88" i="1"/>
  <c r="W88" i="1"/>
  <c r="X88" i="1"/>
  <c r="M89" i="1"/>
  <c r="N89" i="1"/>
  <c r="O89" i="1"/>
  <c r="P89" i="1"/>
  <c r="Q89" i="1"/>
  <c r="R89" i="1"/>
  <c r="S89" i="1"/>
  <c r="T89" i="1"/>
  <c r="U89" i="1"/>
  <c r="V89" i="1"/>
  <c r="W89" i="1"/>
  <c r="X89" i="1"/>
  <c r="M90" i="1"/>
  <c r="N90" i="1"/>
  <c r="O90" i="1"/>
  <c r="P90" i="1"/>
  <c r="Q90" i="1"/>
  <c r="R90" i="1"/>
  <c r="S90" i="1"/>
  <c r="T90" i="1"/>
  <c r="U90" i="1"/>
  <c r="V90" i="1"/>
  <c r="W90" i="1"/>
  <c r="X90" i="1"/>
  <c r="M91" i="1"/>
  <c r="N91" i="1"/>
  <c r="O91" i="1"/>
  <c r="P91" i="1"/>
  <c r="Q91" i="1"/>
  <c r="R91" i="1"/>
  <c r="S91" i="1"/>
  <c r="T91" i="1"/>
  <c r="U91" i="1"/>
  <c r="V91" i="1"/>
  <c r="W91" i="1"/>
  <c r="X91" i="1"/>
  <c r="M92" i="1"/>
  <c r="N92" i="1"/>
  <c r="O92" i="1"/>
  <c r="P92" i="1"/>
  <c r="Q92" i="1"/>
  <c r="R92" i="1"/>
  <c r="S92" i="1"/>
  <c r="T92" i="1"/>
  <c r="U92" i="1"/>
  <c r="V92" i="1"/>
  <c r="W92" i="1"/>
  <c r="X92" i="1"/>
  <c r="M93" i="1"/>
  <c r="N93" i="1"/>
  <c r="O93" i="1"/>
  <c r="P93" i="1"/>
  <c r="Q93" i="1"/>
  <c r="R93" i="1"/>
  <c r="S93" i="1"/>
  <c r="T93" i="1"/>
  <c r="U93" i="1"/>
  <c r="V93" i="1"/>
  <c r="W93" i="1"/>
  <c r="X93" i="1"/>
  <c r="M94" i="1"/>
  <c r="N94" i="1"/>
  <c r="O94" i="1"/>
  <c r="P94" i="1"/>
  <c r="Q94" i="1"/>
  <c r="R94" i="1"/>
  <c r="S94" i="1"/>
  <c r="T94" i="1"/>
  <c r="U94" i="1"/>
  <c r="V94" i="1"/>
  <c r="W94" i="1"/>
  <c r="X94" i="1"/>
  <c r="M95" i="1"/>
  <c r="N95" i="1"/>
  <c r="O95" i="1"/>
  <c r="P95" i="1"/>
  <c r="Q95" i="1"/>
  <c r="R95" i="1"/>
  <c r="S95" i="1"/>
  <c r="T95" i="1"/>
  <c r="U95" i="1"/>
  <c r="V95" i="1"/>
  <c r="W95" i="1"/>
  <c r="X95" i="1"/>
  <c r="M96" i="1"/>
  <c r="N96" i="1"/>
  <c r="O96" i="1"/>
  <c r="P96" i="1"/>
  <c r="Q96" i="1"/>
  <c r="R96" i="1"/>
  <c r="S96" i="1"/>
  <c r="T96" i="1"/>
  <c r="U96" i="1"/>
  <c r="V96" i="1"/>
  <c r="W96" i="1"/>
  <c r="X96" i="1"/>
  <c r="M97" i="1"/>
  <c r="N97" i="1"/>
  <c r="O97" i="1"/>
  <c r="P97" i="1"/>
  <c r="Q97" i="1"/>
  <c r="R97" i="1"/>
  <c r="S97" i="1"/>
  <c r="T97" i="1"/>
  <c r="U97" i="1"/>
  <c r="V97" i="1"/>
  <c r="W97" i="1"/>
  <c r="X97" i="1"/>
  <c r="M98" i="1"/>
  <c r="N98" i="1"/>
  <c r="O98" i="1"/>
  <c r="P98" i="1"/>
  <c r="Q98" i="1"/>
  <c r="R98" i="1"/>
  <c r="S98" i="1"/>
  <c r="T98" i="1"/>
  <c r="U98" i="1"/>
  <c r="V98" i="1"/>
  <c r="W98" i="1"/>
  <c r="X98" i="1"/>
  <c r="M99" i="1"/>
  <c r="N99" i="1"/>
  <c r="O99" i="1"/>
  <c r="P99" i="1"/>
  <c r="Q99" i="1"/>
  <c r="R99" i="1"/>
  <c r="S99" i="1"/>
  <c r="T99" i="1"/>
  <c r="U99" i="1"/>
  <c r="V99" i="1"/>
  <c r="W99" i="1"/>
  <c r="X99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X18" i="1"/>
  <c r="W18" i="1"/>
  <c r="V18" i="1"/>
  <c r="U18" i="1"/>
  <c r="T18" i="1"/>
  <c r="S18" i="1"/>
  <c r="R18" i="1"/>
  <c r="Q18" i="1"/>
  <c r="P18" i="1"/>
  <c r="O18" i="1"/>
  <c r="N18" i="1"/>
  <c r="M18" i="1"/>
  <c r="E40" i="1"/>
  <c r="J40" i="1" s="1"/>
  <c r="F40" i="1" l="1"/>
  <c r="G40" i="1" s="1"/>
  <c r="H40" i="1" s="1"/>
  <c r="I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F138" i="1"/>
  <c r="G138" i="1" s="1"/>
  <c r="H138" i="1" s="1"/>
  <c r="I138" i="1" s="1"/>
  <c r="E138" i="1"/>
  <c r="E137" i="1"/>
  <c r="F136" i="1"/>
  <c r="G136" i="1" s="1"/>
  <c r="H136" i="1" s="1"/>
  <c r="I136" i="1" s="1"/>
  <c r="E136" i="1"/>
  <c r="J135" i="1"/>
  <c r="F135" i="1"/>
  <c r="G135" i="1" s="1"/>
  <c r="H135" i="1" s="1"/>
  <c r="I135" i="1" s="1"/>
  <c r="E135" i="1"/>
  <c r="E134" i="1"/>
  <c r="E133" i="1"/>
  <c r="I132" i="1"/>
  <c r="F132" i="1"/>
  <c r="G132" i="1" s="1"/>
  <c r="H132" i="1" s="1"/>
  <c r="E132" i="1"/>
  <c r="E131" i="1"/>
  <c r="J130" i="1"/>
  <c r="H130" i="1"/>
  <c r="I130" i="1" s="1"/>
  <c r="G130" i="1"/>
  <c r="F130" i="1"/>
  <c r="E130" i="1"/>
  <c r="J129" i="1"/>
  <c r="F129" i="1"/>
  <c r="G129" i="1" s="1"/>
  <c r="H129" i="1" s="1"/>
  <c r="I129" i="1" s="1"/>
  <c r="E129" i="1"/>
  <c r="E128" i="1"/>
  <c r="J127" i="1"/>
  <c r="F127" i="1"/>
  <c r="G127" i="1" s="1"/>
  <c r="H127" i="1" s="1"/>
  <c r="I127" i="1" s="1"/>
  <c r="E127" i="1"/>
  <c r="J126" i="1"/>
  <c r="G126" i="1"/>
  <c r="H126" i="1" s="1"/>
  <c r="I126" i="1" s="1"/>
  <c r="F126" i="1"/>
  <c r="E126" i="1"/>
  <c r="J125" i="1"/>
  <c r="E125" i="1"/>
  <c r="E124" i="1"/>
  <c r="E123" i="1"/>
  <c r="F122" i="1"/>
  <c r="G122" i="1" s="1"/>
  <c r="H122" i="1" s="1"/>
  <c r="I122" i="1" s="1"/>
  <c r="E122" i="1"/>
  <c r="J121" i="1"/>
  <c r="G121" i="1"/>
  <c r="H121" i="1" s="1"/>
  <c r="I121" i="1" s="1"/>
  <c r="F121" i="1"/>
  <c r="E121" i="1"/>
  <c r="J120" i="1"/>
  <c r="E120" i="1"/>
  <c r="J119" i="1"/>
  <c r="F119" i="1"/>
  <c r="G119" i="1" s="1"/>
  <c r="H119" i="1" s="1"/>
  <c r="I119" i="1" s="1"/>
  <c r="E119" i="1"/>
  <c r="E118" i="1"/>
  <c r="G117" i="1"/>
  <c r="H117" i="1" s="1"/>
  <c r="I117" i="1" s="1"/>
  <c r="F117" i="1"/>
  <c r="E117" i="1"/>
  <c r="F116" i="1"/>
  <c r="G116" i="1" s="1"/>
  <c r="H116" i="1" s="1"/>
  <c r="I116" i="1" s="1"/>
  <c r="E116" i="1"/>
  <c r="J115" i="1"/>
  <c r="G115" i="1"/>
  <c r="H115" i="1" s="1"/>
  <c r="I115" i="1" s="1"/>
  <c r="F115" i="1"/>
  <c r="E115" i="1"/>
  <c r="J114" i="1"/>
  <c r="H114" i="1"/>
  <c r="I114" i="1" s="1"/>
  <c r="F114" i="1"/>
  <c r="G114" i="1" s="1"/>
  <c r="E114" i="1"/>
  <c r="J113" i="1"/>
  <c r="H113" i="1"/>
  <c r="I113" i="1" s="1"/>
  <c r="F113" i="1"/>
  <c r="G113" i="1" s="1"/>
  <c r="E113" i="1"/>
  <c r="I112" i="1"/>
  <c r="F112" i="1"/>
  <c r="G112" i="1" s="1"/>
  <c r="H112" i="1" s="1"/>
  <c r="E112" i="1"/>
  <c r="J112" i="1" s="1"/>
  <c r="J111" i="1"/>
  <c r="E111" i="1"/>
  <c r="J110" i="1"/>
  <c r="F110" i="1"/>
  <c r="G110" i="1" s="1"/>
  <c r="H110" i="1" s="1"/>
  <c r="I110" i="1" s="1"/>
  <c r="E110" i="1"/>
  <c r="F109" i="1"/>
  <c r="G109" i="1" s="1"/>
  <c r="H109" i="1" s="1"/>
  <c r="I109" i="1" s="1"/>
  <c r="E109" i="1"/>
  <c r="J108" i="1"/>
  <c r="E108" i="1"/>
  <c r="J107" i="1"/>
  <c r="F107" i="1"/>
  <c r="G107" i="1" s="1"/>
  <c r="H107" i="1" s="1"/>
  <c r="I107" i="1" s="1"/>
  <c r="E107" i="1"/>
  <c r="J106" i="1"/>
  <c r="F106" i="1"/>
  <c r="G106" i="1" s="1"/>
  <c r="H106" i="1" s="1"/>
  <c r="I106" i="1" s="1"/>
  <c r="E106" i="1"/>
  <c r="J105" i="1"/>
  <c r="H105" i="1"/>
  <c r="I105" i="1" s="1"/>
  <c r="F105" i="1"/>
  <c r="G105" i="1" s="1"/>
  <c r="E105" i="1"/>
  <c r="J104" i="1"/>
  <c r="E104" i="1"/>
  <c r="J103" i="1"/>
  <c r="G103" i="1"/>
  <c r="H103" i="1" s="1"/>
  <c r="I103" i="1" s="1"/>
  <c r="F103" i="1"/>
  <c r="E103" i="1"/>
  <c r="E102" i="1"/>
  <c r="E101" i="1"/>
  <c r="G100" i="1"/>
  <c r="H100" i="1" s="1"/>
  <c r="I100" i="1" s="1"/>
  <c r="F100" i="1"/>
  <c r="E100" i="1"/>
  <c r="E99" i="1"/>
  <c r="J98" i="1"/>
  <c r="G98" i="1"/>
  <c r="H98" i="1" s="1"/>
  <c r="I98" i="1" s="1"/>
  <c r="F98" i="1"/>
  <c r="E98" i="1"/>
  <c r="E97" i="1"/>
  <c r="F96" i="1"/>
  <c r="G96" i="1" s="1"/>
  <c r="H96" i="1" s="1"/>
  <c r="I96" i="1" s="1"/>
  <c r="E96" i="1"/>
  <c r="J96" i="1" s="1"/>
  <c r="I95" i="1"/>
  <c r="F95" i="1"/>
  <c r="G95" i="1" s="1"/>
  <c r="H95" i="1" s="1"/>
  <c r="E95" i="1"/>
  <c r="J94" i="1"/>
  <c r="E94" i="1"/>
  <c r="J93" i="1"/>
  <c r="I93" i="1"/>
  <c r="F93" i="1"/>
  <c r="G93" i="1" s="1"/>
  <c r="H93" i="1" s="1"/>
  <c r="E93" i="1"/>
  <c r="E92" i="1"/>
  <c r="J91" i="1"/>
  <c r="E91" i="1"/>
  <c r="E90" i="1"/>
  <c r="J89" i="1"/>
  <c r="F89" i="1"/>
  <c r="G89" i="1" s="1"/>
  <c r="H89" i="1" s="1"/>
  <c r="I89" i="1" s="1"/>
  <c r="E89" i="1"/>
  <c r="J88" i="1"/>
  <c r="H88" i="1"/>
  <c r="I88" i="1" s="1"/>
  <c r="F88" i="1"/>
  <c r="G88" i="1" s="1"/>
  <c r="E88" i="1"/>
  <c r="J87" i="1"/>
  <c r="H87" i="1"/>
  <c r="I87" i="1" s="1"/>
  <c r="G87" i="1"/>
  <c r="F87" i="1"/>
  <c r="E87" i="1"/>
  <c r="J86" i="1"/>
  <c r="F86" i="1"/>
  <c r="G86" i="1" s="1"/>
  <c r="H86" i="1" s="1"/>
  <c r="I86" i="1" s="1"/>
  <c r="E86" i="1"/>
  <c r="E85" i="1"/>
  <c r="J84" i="1"/>
  <c r="E84" i="1"/>
  <c r="E83" i="1"/>
  <c r="G82" i="1"/>
  <c r="H82" i="1" s="1"/>
  <c r="I82" i="1" s="1"/>
  <c r="F82" i="1"/>
  <c r="E82" i="1"/>
  <c r="J81" i="1"/>
  <c r="H81" i="1"/>
  <c r="I81" i="1" s="1"/>
  <c r="F81" i="1"/>
  <c r="G81" i="1" s="1"/>
  <c r="E81" i="1"/>
  <c r="E80" i="1"/>
  <c r="J79" i="1"/>
  <c r="F79" i="1"/>
  <c r="G79" i="1" s="1"/>
  <c r="H79" i="1" s="1"/>
  <c r="I79" i="1" s="1"/>
  <c r="E79" i="1"/>
  <c r="E78" i="1"/>
  <c r="J77" i="1"/>
  <c r="G77" i="1"/>
  <c r="H77" i="1" s="1"/>
  <c r="I77" i="1" s="1"/>
  <c r="F77" i="1"/>
  <c r="E77" i="1"/>
  <c r="J76" i="1"/>
  <c r="E76" i="1"/>
  <c r="E75" i="1"/>
  <c r="F74" i="1"/>
  <c r="G74" i="1" s="1"/>
  <c r="H74" i="1" s="1"/>
  <c r="I74" i="1" s="1"/>
  <c r="E74" i="1"/>
  <c r="F73" i="1"/>
  <c r="G73" i="1" s="1"/>
  <c r="H73" i="1" s="1"/>
  <c r="I73" i="1" s="1"/>
  <c r="E73" i="1"/>
  <c r="J72" i="1"/>
  <c r="F72" i="1"/>
  <c r="G72" i="1" s="1"/>
  <c r="H72" i="1" s="1"/>
  <c r="I72" i="1" s="1"/>
  <c r="E72" i="1"/>
  <c r="J71" i="1"/>
  <c r="F71" i="1"/>
  <c r="G71" i="1" s="1"/>
  <c r="H71" i="1" s="1"/>
  <c r="I71" i="1" s="1"/>
  <c r="E71" i="1"/>
  <c r="J70" i="1"/>
  <c r="E70" i="1"/>
  <c r="J69" i="1"/>
  <c r="H69" i="1"/>
  <c r="I69" i="1" s="1"/>
  <c r="E69" i="1"/>
  <c r="F69" i="1" s="1"/>
  <c r="G69" i="1" s="1"/>
  <c r="E68" i="1"/>
  <c r="J67" i="1"/>
  <c r="F67" i="1"/>
  <c r="G67" i="1" s="1"/>
  <c r="H67" i="1" s="1"/>
  <c r="I67" i="1" s="1"/>
  <c r="E67" i="1"/>
  <c r="E66" i="1"/>
  <c r="E65" i="1"/>
  <c r="J64" i="1"/>
  <c r="E64" i="1"/>
  <c r="J63" i="1"/>
  <c r="I63" i="1"/>
  <c r="G63" i="1"/>
  <c r="H63" i="1" s="1"/>
  <c r="F63" i="1"/>
  <c r="E63" i="1"/>
  <c r="J62" i="1"/>
  <c r="G62" i="1"/>
  <c r="H62" i="1" s="1"/>
  <c r="I62" i="1" s="1"/>
  <c r="F62" i="1"/>
  <c r="E62" i="1"/>
  <c r="E61" i="1"/>
  <c r="J60" i="1"/>
  <c r="E60" i="1"/>
  <c r="J59" i="1"/>
  <c r="F59" i="1"/>
  <c r="G59" i="1" s="1"/>
  <c r="H59" i="1" s="1"/>
  <c r="I59" i="1" s="1"/>
  <c r="E59" i="1"/>
  <c r="J58" i="1"/>
  <c r="G58" i="1"/>
  <c r="H58" i="1" s="1"/>
  <c r="I58" i="1" s="1"/>
  <c r="F58" i="1"/>
  <c r="E58" i="1"/>
  <c r="F57" i="1"/>
  <c r="G57" i="1" s="1"/>
  <c r="H57" i="1" s="1"/>
  <c r="I57" i="1" s="1"/>
  <c r="E57" i="1"/>
  <c r="J56" i="1"/>
  <c r="I56" i="1"/>
  <c r="F56" i="1"/>
  <c r="G56" i="1" s="1"/>
  <c r="H56" i="1" s="1"/>
  <c r="E56" i="1"/>
  <c r="E55" i="1"/>
  <c r="F54" i="1"/>
  <c r="G54" i="1" s="1"/>
  <c r="H54" i="1" s="1"/>
  <c r="I54" i="1" s="1"/>
  <c r="E54" i="1"/>
  <c r="E53" i="1"/>
  <c r="E52" i="1"/>
  <c r="E51" i="1"/>
  <c r="E50" i="1"/>
  <c r="E49" i="1"/>
  <c r="J48" i="1"/>
  <c r="E48" i="1"/>
  <c r="J47" i="1"/>
  <c r="F47" i="1"/>
  <c r="G47" i="1" s="1"/>
  <c r="H47" i="1" s="1"/>
  <c r="I47" i="1" s="1"/>
  <c r="E47" i="1"/>
  <c r="J46" i="1"/>
  <c r="F46" i="1"/>
  <c r="G46" i="1" s="1"/>
  <c r="H46" i="1" s="1"/>
  <c r="I46" i="1" s="1"/>
  <c r="E46" i="1"/>
  <c r="J45" i="1"/>
  <c r="E45" i="1"/>
  <c r="J44" i="1"/>
  <c r="E44" i="1"/>
  <c r="J43" i="1"/>
  <c r="F43" i="1"/>
  <c r="G43" i="1" s="1"/>
  <c r="H43" i="1" s="1"/>
  <c r="I43" i="1" s="1"/>
  <c r="E43" i="1"/>
  <c r="E42" i="1"/>
  <c r="F41" i="1"/>
  <c r="G41" i="1" s="1"/>
  <c r="H41" i="1" s="1"/>
  <c r="I41" i="1" s="1"/>
  <c r="E41" i="1"/>
  <c r="E39" i="1"/>
  <c r="J38" i="1"/>
  <c r="F38" i="1"/>
  <c r="G38" i="1" s="1"/>
  <c r="H38" i="1" s="1"/>
  <c r="I38" i="1" s="1"/>
  <c r="E38" i="1"/>
  <c r="J37" i="1"/>
  <c r="I37" i="1"/>
  <c r="F37" i="1"/>
  <c r="G37" i="1" s="1"/>
  <c r="H37" i="1" s="1"/>
  <c r="E37" i="1"/>
  <c r="E36" i="1"/>
  <c r="J35" i="1"/>
  <c r="E35" i="1"/>
  <c r="E34" i="1"/>
  <c r="E33" i="1"/>
  <c r="J32" i="1"/>
  <c r="E32" i="1"/>
  <c r="F31" i="1"/>
  <c r="G31" i="1" s="1"/>
  <c r="H31" i="1" s="1"/>
  <c r="I31" i="1" s="1"/>
  <c r="E31" i="1"/>
  <c r="E30" i="1"/>
  <c r="F30" i="1" s="1"/>
  <c r="G30" i="1" s="1"/>
  <c r="H30" i="1" s="1"/>
  <c r="I30" i="1" s="1"/>
  <c r="J29" i="1"/>
  <c r="E29" i="1"/>
  <c r="E28" i="1"/>
  <c r="J28" i="1" s="1"/>
  <c r="J27" i="1"/>
  <c r="F27" i="1"/>
  <c r="G27" i="1" s="1"/>
  <c r="H27" i="1" s="1"/>
  <c r="I27" i="1" s="1"/>
  <c r="E27" i="1"/>
  <c r="E26" i="1"/>
  <c r="E25" i="1"/>
  <c r="J24" i="1"/>
  <c r="H24" i="1"/>
  <c r="I24" i="1" s="1"/>
  <c r="G24" i="1"/>
  <c r="F24" i="1"/>
  <c r="E24" i="1"/>
  <c r="J23" i="1"/>
  <c r="E23" i="1"/>
  <c r="E22" i="1"/>
  <c r="J21" i="1"/>
  <c r="E21" i="1"/>
  <c r="F20" i="1"/>
  <c r="G20" i="1" s="1"/>
  <c r="H20" i="1" s="1"/>
  <c r="I20" i="1" s="1"/>
  <c r="E20" i="1"/>
  <c r="J19" i="1"/>
  <c r="E19" i="1"/>
  <c r="E18" i="1"/>
  <c r="C14" i="1"/>
  <c r="K87" i="1" s="1"/>
  <c r="C13" i="1"/>
  <c r="C6" i="1"/>
  <c r="K40" i="1" l="1"/>
  <c r="K54" i="1"/>
  <c r="K30" i="1"/>
  <c r="K69" i="1"/>
  <c r="K31" i="1"/>
  <c r="K122" i="1"/>
  <c r="K59" i="1"/>
  <c r="K129" i="1"/>
  <c r="K38" i="1"/>
  <c r="K135" i="1"/>
  <c r="K27" i="1"/>
  <c r="K46" i="1"/>
  <c r="K47" i="1"/>
  <c r="K41" i="1"/>
  <c r="K43" i="1"/>
  <c r="K57" i="1"/>
  <c r="K72" i="1"/>
  <c r="K67" i="1"/>
  <c r="K79" i="1"/>
  <c r="K20" i="1"/>
  <c r="K71" i="1"/>
  <c r="J49" i="1"/>
  <c r="F18" i="1"/>
  <c r="G18" i="1" s="1"/>
  <c r="H18" i="1" s="1"/>
  <c r="I18" i="1" s="1"/>
  <c r="J53" i="1"/>
  <c r="F53" i="1"/>
  <c r="G53" i="1" s="1"/>
  <c r="H53" i="1" s="1"/>
  <c r="I53" i="1" s="1"/>
  <c r="K77" i="1"/>
  <c r="K96" i="1"/>
  <c r="K114" i="1"/>
  <c r="K37" i="1"/>
  <c r="K130" i="1"/>
  <c r="K63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K81" i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12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F78" i="1"/>
  <c r="G78" i="1" s="1"/>
  <c r="H78" i="1" s="1"/>
  <c r="I78" i="1" s="1"/>
  <c r="K78" i="1" s="1"/>
  <c r="K93" i="1"/>
  <c r="J101" i="1"/>
  <c r="F101" i="1"/>
  <c r="G101" i="1" s="1"/>
  <c r="H101" i="1" s="1"/>
  <c r="I101" i="1" s="1"/>
  <c r="K119" i="1"/>
  <c r="K136" i="1"/>
  <c r="J42" i="1"/>
  <c r="K24" i="1"/>
  <c r="F23" i="1"/>
  <c r="G23" i="1" s="1"/>
  <c r="H23" i="1" s="1"/>
  <c r="I23" i="1" s="1"/>
  <c r="F48" i="1"/>
  <c r="G48" i="1" s="1"/>
  <c r="H48" i="1" s="1"/>
  <c r="I48" i="1" s="1"/>
  <c r="K48" i="1" s="1"/>
  <c r="J54" i="1"/>
  <c r="K58" i="1"/>
  <c r="K62" i="1"/>
  <c r="K115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F90" i="1"/>
  <c r="G90" i="1" s="1"/>
  <c r="H90" i="1" s="1"/>
  <c r="I90" i="1" s="1"/>
  <c r="K90" i="1" s="1"/>
  <c r="K74" i="1"/>
  <c r="K117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J33" i="1"/>
  <c r="F33" i="1"/>
  <c r="G33" i="1" s="1"/>
  <c r="H33" i="1" s="1"/>
  <c r="I33" i="1" s="1"/>
  <c r="J65" i="1"/>
  <c r="F65" i="1"/>
  <c r="G65" i="1" s="1"/>
  <c r="H65" i="1" s="1"/>
  <c r="I65" i="1" s="1"/>
  <c r="K106" i="1"/>
  <c r="K109" i="1"/>
  <c r="K56" i="1"/>
  <c r="F19" i="1"/>
  <c r="G19" i="1" s="1"/>
  <c r="H19" i="1" s="1"/>
  <c r="I19" i="1" s="1"/>
  <c r="J22" i="1"/>
  <c r="F22" i="1"/>
  <c r="G22" i="1" s="1"/>
  <c r="H22" i="1" s="1"/>
  <c r="I22" i="1" s="1"/>
  <c r="J50" i="1"/>
  <c r="F50" i="1"/>
  <c r="G50" i="1" s="1"/>
  <c r="H50" i="1" s="1"/>
  <c r="I50" i="1" s="1"/>
  <c r="J57" i="1"/>
  <c r="F68" i="1"/>
  <c r="G68" i="1" s="1"/>
  <c r="H68" i="1" s="1"/>
  <c r="I68" i="1" s="1"/>
  <c r="J68" i="1"/>
  <c r="F91" i="1"/>
  <c r="G91" i="1" s="1"/>
  <c r="H91" i="1" s="1"/>
  <c r="I91" i="1" s="1"/>
  <c r="K91" i="1" s="1"/>
  <c r="K110" i="1"/>
  <c r="K138" i="1"/>
  <c r="F51" i="1"/>
  <c r="G51" i="1" s="1"/>
  <c r="H51" i="1" s="1"/>
  <c r="I51" i="1" s="1"/>
  <c r="J109" i="1"/>
  <c r="K89" i="1"/>
  <c r="F64" i="1"/>
  <c r="G64" i="1" s="1"/>
  <c r="H64" i="1" s="1"/>
  <c r="I64" i="1" s="1"/>
  <c r="J75" i="1"/>
  <c r="F75" i="1"/>
  <c r="G75" i="1" s="1"/>
  <c r="H75" i="1" s="1"/>
  <c r="I75" i="1" s="1"/>
  <c r="F84" i="1"/>
  <c r="G84" i="1" s="1"/>
  <c r="H84" i="1" s="1"/>
  <c r="I84" i="1" s="1"/>
  <c r="K100" i="1"/>
  <c r="J136" i="1"/>
  <c r="F21" i="1"/>
  <c r="G21" i="1" s="1"/>
  <c r="H21" i="1" s="1"/>
  <c r="I21" i="1" s="1"/>
  <c r="F34" i="1"/>
  <c r="G34" i="1" s="1"/>
  <c r="H34" i="1" s="1"/>
  <c r="I34" i="1" s="1"/>
  <c r="K107" i="1"/>
  <c r="J131" i="1"/>
  <c r="F35" i="1"/>
  <c r="G35" i="1" s="1"/>
  <c r="H35" i="1" s="1"/>
  <c r="I35" i="1" s="1"/>
  <c r="J36" i="1"/>
  <c r="J51" i="1"/>
  <c r="J20" i="1"/>
  <c r="J31" i="1"/>
  <c r="F36" i="1"/>
  <c r="G36" i="1" s="1"/>
  <c r="H36" i="1" s="1"/>
  <c r="I36" i="1" s="1"/>
  <c r="F70" i="1"/>
  <c r="G70" i="1" s="1"/>
  <c r="H70" i="1" s="1"/>
  <c r="I70" i="1" s="1"/>
  <c r="K116" i="1"/>
  <c r="K126" i="1"/>
  <c r="F131" i="1"/>
  <c r="G131" i="1" s="1"/>
  <c r="H131" i="1" s="1"/>
  <c r="I131" i="1" s="1"/>
  <c r="K131" i="1" s="1"/>
  <c r="K112" i="1"/>
  <c r="J34" i="1"/>
  <c r="K121" i="1"/>
  <c r="F140" i="1"/>
  <c r="G140" i="1" s="1"/>
  <c r="H140" i="1" s="1"/>
  <c r="I140" i="1" s="1"/>
  <c r="J140" i="1"/>
  <c r="J66" i="1"/>
  <c r="F66" i="1"/>
  <c r="G66" i="1" s="1"/>
  <c r="H66" i="1" s="1"/>
  <c r="I66" i="1" s="1"/>
  <c r="J83" i="1"/>
  <c r="F83" i="1"/>
  <c r="G83" i="1" s="1"/>
  <c r="H83" i="1" s="1"/>
  <c r="I83" i="1" s="1"/>
  <c r="K132" i="1"/>
  <c r="F61" i="1"/>
  <c r="G61" i="1" s="1"/>
  <c r="H61" i="1" s="1"/>
  <c r="I61" i="1" s="1"/>
  <c r="F44" i="1"/>
  <c r="G44" i="1" s="1"/>
  <c r="H44" i="1" s="1"/>
  <c r="I44" i="1" s="1"/>
  <c r="F29" i="1"/>
  <c r="G29" i="1" s="1"/>
  <c r="H29" i="1" s="1"/>
  <c r="I29" i="1" s="1"/>
  <c r="J41" i="1"/>
  <c r="F45" i="1"/>
  <c r="G45" i="1" s="1"/>
  <c r="H45" i="1" s="1"/>
  <c r="I45" i="1" s="1"/>
  <c r="F60" i="1"/>
  <c r="G60" i="1" s="1"/>
  <c r="H60" i="1" s="1"/>
  <c r="I60" i="1" s="1"/>
  <c r="J61" i="1"/>
  <c r="J116" i="1"/>
  <c r="J133" i="1"/>
  <c r="F133" i="1"/>
  <c r="G133" i="1" s="1"/>
  <c r="H133" i="1" s="1"/>
  <c r="I133" i="1" s="1"/>
  <c r="F76" i="1"/>
  <c r="G76" i="1" s="1"/>
  <c r="H76" i="1" s="1"/>
  <c r="I76" i="1" s="1"/>
  <c r="K103" i="1"/>
  <c r="J128" i="1"/>
  <c r="F128" i="1"/>
  <c r="G128" i="1" s="1"/>
  <c r="H128" i="1" s="1"/>
  <c r="I128" i="1" s="1"/>
  <c r="J82" i="1"/>
  <c r="J118" i="1"/>
  <c r="F118" i="1"/>
  <c r="G118" i="1" s="1"/>
  <c r="H118" i="1" s="1"/>
  <c r="I118" i="1" s="1"/>
  <c r="J99" i="1"/>
  <c r="F102" i="1"/>
  <c r="G102" i="1" s="1"/>
  <c r="H102" i="1" s="1"/>
  <c r="I102" i="1" s="1"/>
  <c r="K113" i="1"/>
  <c r="F123" i="1"/>
  <c r="G123" i="1" s="1"/>
  <c r="H123" i="1" s="1"/>
  <c r="I123" i="1" s="1"/>
  <c r="F125" i="1"/>
  <c r="G125" i="1" s="1"/>
  <c r="H125" i="1" s="1"/>
  <c r="I125" i="1" s="1"/>
  <c r="J74" i="1"/>
  <c r="F92" i="1"/>
  <c r="G92" i="1" s="1"/>
  <c r="H92" i="1" s="1"/>
  <c r="I92" i="1" s="1"/>
  <c r="J92" i="1"/>
  <c r="F99" i="1"/>
  <c r="G99" i="1" s="1"/>
  <c r="H99" i="1" s="1"/>
  <c r="I99" i="1" s="1"/>
  <c r="J102" i="1"/>
  <c r="J123" i="1"/>
  <c r="J132" i="1"/>
  <c r="J139" i="1"/>
  <c r="F139" i="1"/>
  <c r="G139" i="1" s="1"/>
  <c r="H139" i="1" s="1"/>
  <c r="I139" i="1" s="1"/>
  <c r="J73" i="1"/>
  <c r="J80" i="1"/>
  <c r="F80" i="1"/>
  <c r="G80" i="1" s="1"/>
  <c r="H80" i="1" s="1"/>
  <c r="I80" i="1" s="1"/>
  <c r="F108" i="1"/>
  <c r="G108" i="1" s="1"/>
  <c r="H108" i="1" s="1"/>
  <c r="I108" i="1" s="1"/>
  <c r="F134" i="1"/>
  <c r="G134" i="1" s="1"/>
  <c r="H134" i="1" s="1"/>
  <c r="I134" i="1" s="1"/>
  <c r="J134" i="1"/>
  <c r="J138" i="1"/>
  <c r="J100" i="1"/>
  <c r="J117" i="1"/>
  <c r="F94" i="1"/>
  <c r="G94" i="1" s="1"/>
  <c r="H94" i="1" s="1"/>
  <c r="I94" i="1" s="1"/>
  <c r="F111" i="1"/>
  <c r="G111" i="1" s="1"/>
  <c r="H111" i="1" s="1"/>
  <c r="I111" i="1" s="1"/>
  <c r="F120" i="1"/>
  <c r="G120" i="1" s="1"/>
  <c r="H120" i="1" s="1"/>
  <c r="I120" i="1" s="1"/>
  <c r="J122" i="1"/>
  <c r="J95" i="1"/>
  <c r="K34" i="1" l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sharedStrings.xml><?xml version="1.0" encoding="utf-8"?>
<sst xmlns="http://schemas.openxmlformats.org/spreadsheetml/2006/main" count="904" uniqueCount="392">
  <si>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</si>
  <si>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</si>
  <si>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</si>
  <si>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</si>
  <si>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</si>
  <si>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</si>
  <si>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</si>
  <si>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</si>
  <si>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</si>
  <si>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</si>
  <si>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</si>
  <si>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</si>
  <si>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</si>
  <si>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</si>
  <si>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</si>
  <si>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</si>
  <si>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</si>
  <si>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</si>
  <si>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</si>
  <si>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</si>
  <si>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</si>
  <si>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</si>
  <si>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</si>
  <si>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</si>
  <si>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</si>
  <si>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</si>
  <si>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</si>
  <si>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</si>
  <si>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</si>
  <si>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</si>
  <si>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</si>
  <si>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</si>
  <si>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</si>
  <si>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</si>
  <si>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</si>
  <si>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</si>
  <si>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</si>
  <si>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</si>
  <si>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</si>
  <si>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</si>
  <si>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</si>
  <si>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</si>
  <si>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</si>
  <si>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</si>
  <si>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</si>
  <si>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</si>
  <si>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</si>
  <si>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</si>
  <si>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</si>
  <si>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</si>
  <si>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</si>
  <si>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</si>
  <si>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</si>
  <si>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</si>
  <si>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</si>
  <si>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</si>
  <si>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</si>
  <si>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</si>
  <si>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</si>
  <si>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</si>
  <si>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</si>
  <si>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</si>
  <si>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</si>
  <si>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</si>
  <si>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</si>
  <si>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</si>
  <si>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</si>
  <si>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</si>
  <si>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</si>
  <si>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</si>
  <si>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</si>
  <si>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</si>
  <si>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</si>
  <si>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</si>
  <si>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</si>
  <si>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</si>
  <si>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</si>
  <si>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</si>
  <si>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</si>
  <si>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</si>
  <si>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</si>
  <si>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</si>
  <si>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</si>
  <si>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</si>
  <si>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</si>
  <si>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</si>
  <si>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</si>
  <si>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</si>
  <si>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</si>
  <si>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</si>
  <si>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</si>
  <si>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</si>
  <si>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</si>
  <si>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</si>
  <si>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</si>
  <si>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</si>
  <si>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</si>
  <si>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</si>
  <si>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</si>
  <si>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</si>
  <si>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</si>
  <si>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</si>
  <si>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</si>
  <si>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</si>
  <si>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</si>
  <si>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</si>
  <si>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</si>
  <si>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</si>
  <si>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</si>
  <si>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</si>
  <si>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</si>
  <si>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</si>
  <si>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</si>
  <si>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</si>
  <si>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</si>
  <si>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</si>
  <si>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</si>
  <si>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</si>
  <si>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</si>
  <si>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</si>
  <si>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</si>
  <si>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</si>
  <si>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</si>
  <si>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</si>
  <si>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</si>
  <si>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</si>
  <si>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</si>
  <si>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</si>
  <si>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</si>
  <si>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</si>
  <si>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</si>
  <si>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</si>
  <si>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</si>
  <si>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</si>
  <si>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</si>
  <si>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</si>
  <si>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</si>
  <si>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</si>
  <si>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</si>
  <si>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</si>
  <si>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</si>
  <si>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</si>
  <si>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</si>
  <si>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</si>
  <si>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</si>
  <si>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</si>
  <si>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</si>
  <si>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</si>
  <si>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</si>
  <si>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</si>
  <si>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</si>
  <si>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</si>
  <si>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</si>
  <si>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</si>
  <si>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</si>
  <si>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</si>
  <si>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</si>
  <si>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</si>
  <si>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</si>
  <si>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</si>
  <si>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</si>
  <si>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</si>
  <si>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</si>
  <si>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</si>
  <si>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</si>
  <si>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</si>
  <si>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</si>
  <si>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</si>
  <si>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</si>
  <si>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</si>
  <si>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</si>
  <si>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</si>
  <si>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</si>
  <si>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</si>
  <si>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</si>
  <si>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</si>
  <si>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</si>
  <si>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</si>
  <si>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</si>
  <si>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</si>
  <si>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</si>
  <si>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</si>
  <si>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</si>
  <si>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</si>
  <si>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</si>
  <si>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</si>
  <si>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</si>
  <si>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</si>
  <si>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</si>
  <si>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</si>
  <si>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</si>
  <si>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</si>
  <si>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</si>
  <si>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</si>
  <si>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</si>
  <si>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</si>
  <si>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</si>
  <si>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</si>
  <si>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</si>
  <si>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</si>
  <si>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</si>
  <si>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</si>
  <si>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</si>
  <si>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</si>
  <si>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</si>
  <si>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</si>
  <si>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49.211378995222425</t>
  </si>
  <si>
    <t xml:space="preserve"> -0.11595784377391093</t>
  </si>
  <si>
    <t>49.22432823203802</t>
  </si>
  <si>
    <t xml:space="preserve"> -0.22654181087077088</t>
  </si>
  <si>
    <t>49.23970042701548</t>
  </si>
  <si>
    <t xml:space="preserve"> 0.02813057726892425</t>
  </si>
  <si>
    <t>49.250971185627094</t>
  </si>
  <si>
    <t xml:space="preserve"> -0.19377572797289389</t>
  </si>
  <si>
    <t>49.289398599833426</t>
  </si>
  <si>
    <t xml:space="preserve"> -0.09539485602902646</t>
  </si>
  <si>
    <t>49.26397551643844</t>
  </si>
  <si>
    <t xml:space="preserve"> -0.0102971784303403</t>
  </si>
  <si>
    <t>49.259159511167766</t>
  </si>
  <si>
    <t xml:space="preserve"> -0.00637925261383135</t>
  </si>
  <si>
    <t>49.27449892779451</t>
  </si>
  <si>
    <t xml:space="preserve"> -0.013544975245114353</t>
  </si>
  <si>
    <t>49.259837345103605</t>
  </si>
  <si>
    <t xml:space="preserve"> -0.19400437323016223</t>
  </si>
  <si>
    <t>49.282896532350385</t>
  </si>
  <si>
    <t xml:space="preserve"> -0.01396675174722874</t>
  </si>
  <si>
    <t>49.287013526322205</t>
  </si>
  <si>
    <t xml:space="preserve"> -0.024318391922745305</t>
  </si>
  <si>
    <t>49.27010549060859</t>
  </si>
  <si>
    <t xml:space="preserve"> -0.035297150808812</t>
  </si>
  <si>
    <t>49.28749777031419</t>
  </si>
  <si>
    <t xml:space="preserve"> -0.04245484316266376</t>
  </si>
  <si>
    <t>49.296459417812216</t>
  </si>
  <si>
    <t xml:space="preserve"> -0.011719298602490874</t>
  </si>
  <si>
    <t>49.28131233688149</t>
  </si>
  <si>
    <t xml:space="preserve"> -0.06498531070337203</t>
  </si>
  <si>
    <t>49.277170930048285</t>
  </si>
  <si>
    <t xml:space="preserve"> -0.051853848199021974</t>
  </si>
  <si>
    <t>49.25051569108289</t>
  </si>
  <si>
    <t xml:space="preserve"> -0.06283393273652174</t>
  </si>
  <si>
    <t>49.29913762320393</t>
  </si>
  <si>
    <t xml:space="preserve"> -0.08302824395000763</t>
  </si>
  <si>
    <t>49.29519667238976</t>
  </si>
  <si>
    <t xml:space="preserve"> -0.05662543029995011</t>
  </si>
  <si>
    <t>49.297619579934064</t>
  </si>
  <si>
    <t xml:space="preserve"> -0.052379149008389685</t>
  </si>
  <si>
    <t>49.29825875109513</t>
  </si>
  <si>
    <t xml:space="preserve"> -0.05468906257289417</t>
  </si>
  <si>
    <t>49.25781993042019</t>
  </si>
  <si>
    <t xml:space="preserve"> -0.003167383024583325</t>
  </si>
  <si>
    <t>49.242696435790386</t>
  </si>
  <si>
    <t xml:space="preserve"> -0.27213544295803116</t>
  </si>
  <si>
    <t>49.283825117661735</t>
  </si>
  <si>
    <t xml:space="preserve"> -0.14573342273547543</t>
  </si>
  <si>
    <t>49.249052346825934</t>
  </si>
  <si>
    <t xml:space="preserve"> -0.23480492949435036</t>
  </si>
  <si>
    <t>49.24009696614084</t>
  </si>
  <si>
    <t xml:space="preserve"> -0.01915614698443215</t>
  </si>
  <si>
    <t>49.30664314311975</t>
  </si>
  <si>
    <t xml:space="preserve"> -0.0288670435658905</t>
  </si>
  <si>
    <t>49.31762117435177</t>
  </si>
  <si>
    <t xml:space="preserve"> -0.015299902973347072</t>
  </si>
  <si>
    <t>49.219929780170936</t>
  </si>
  <si>
    <t xml:space="preserve"> 0.01798631369155996</t>
  </si>
  <si>
    <t>49.234880654644016</t>
  </si>
  <si>
    <t xml:space="preserve"> -0.1450895514517637</t>
  </si>
  <si>
    <t>49.206777</t>
  </si>
  <si>
    <t>-0.032260</t>
  </si>
  <si>
    <t>49.24588847233386</t>
  </si>
  <si>
    <t xml:space="preserve"> -0.1005835909813264</t>
  </si>
  <si>
    <t>49.244649609152574</t>
  </si>
  <si>
    <t xml:space="preserve"> -0.10489048032543145</t>
  </si>
  <si>
    <t>49.25526619288661</t>
  </si>
  <si>
    <t xml:space="preserve"> -0.09358806593837343</t>
  </si>
  <si>
    <t>49.290675380664055</t>
  </si>
  <si>
    <t xml:space="preserve"> -0.10948479292044781</t>
  </si>
  <si>
    <t>49.25131743180436</t>
  </si>
  <si>
    <t xml:space="preserve"> -0.18868645898233616</t>
  </si>
  <si>
    <t>49.22628901631535</t>
  </si>
  <si>
    <t xml:space="preserve"> -0.036378240891592396</t>
  </si>
  <si>
    <t>49.223516971001196</t>
  </si>
  <si>
    <t xml:space="preserve"> -0.04293960343482412</t>
  </si>
  <si>
    <t>49.22913127846012</t>
  </si>
  <si>
    <t xml:space="preserve"> -0.04684122951583171</t>
  </si>
  <si>
    <t>49.27325582652198</t>
  </si>
  <si>
    <t xml:space="preserve"> -0.19883872392252055</t>
  </si>
  <si>
    <t>49.29936059510781</t>
  </si>
  <si>
    <t xml:space="preserve"> -0.0838123106606562</t>
  </si>
  <si>
    <t>49.215665365008356</t>
  </si>
  <si>
    <t xml:space="preserve"> -0.28893620709786944</t>
  </si>
  <si>
    <t>49.18239479360513</t>
  </si>
  <si>
    <t xml:space="preserve"> 0.017169446197384246</t>
  </si>
  <si>
    <t>49.234815906867155</t>
  </si>
  <si>
    <t xml:space="preserve"> -0.14514894015547677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</si>
  <si>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</si>
  <si>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</si>
  <si>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</si>
  <si>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</si>
  <si>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</si>
  <si>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</si>
  <si>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49.29054999944845</t>
  </si>
  <si>
    <t xml:space="preserve"> -0.11552029608588911</t>
  </si>
  <si>
    <t>49.26458402507549</t>
  </si>
  <si>
    <t xml:space="preserve"> -0.22684179451805833</t>
  </si>
  <si>
    <t>49.23491466120173</t>
  </si>
  <si>
    <t xml:space="preserve"> -0.1466567498215852</t>
  </si>
  <si>
    <t>49.2319998300607</t>
  </si>
  <si>
    <t xml:space="preserve"> -0.19326753518626488</t>
  </si>
  <si>
    <t>49.20311624261673</t>
  </si>
  <si>
    <t xml:space="preserve"> -0.019426116092145118</t>
  </si>
  <si>
    <t>49.28526081814878</t>
  </si>
  <si>
    <t xml:space="preserve"> -0.09934824798786276</t>
  </si>
  <si>
    <t>49.23186249899733</t>
  </si>
  <si>
    <t xml:space="preserve"> -0.04595250406602712</t>
  </si>
  <si>
    <t>49.22958086528844</t>
  </si>
  <si>
    <t xml:space="preserve"> -0.0444975878721113</t>
  </si>
  <si>
    <t>49.28866623092716</t>
  </si>
  <si>
    <t xml:space="preserve"> -0.007075360531240397</t>
  </si>
  <si>
    <t>49.2938801</t>
  </si>
  <si>
    <t>-0.0513079</t>
  </si>
  <si>
    <t>49.26597211779121</t>
  </si>
  <si>
    <t xml:space="preserve"> -0.06466854365493586</t>
  </si>
  <si>
    <t>49.21928081367654</t>
  </si>
  <si>
    <t xml:space="preserve"> -0.09311749073087931</t>
  </si>
  <si>
    <t>49.25556363891102</t>
  </si>
  <si>
    <t xml:space="preserve"> -0.13342002261110422</t>
  </si>
  <si>
    <t>49.25473469697384</t>
  </si>
  <si>
    <t xml:space="preserve"> -0.15119558881800615</t>
  </si>
  <si>
    <t>49.228194454351865</t>
  </si>
  <si>
    <t xml:space="preserve"> -0.04092671380535162</t>
  </si>
  <si>
    <t>49.23086861317475</t>
  </si>
  <si>
    <t xml:space="preserve"> -0.045257960874127576</t>
  </si>
  <si>
    <t>49.24421589522608</t>
  </si>
  <si>
    <t xml:space="preserve"> -0.03955570703643498</t>
  </si>
  <si>
    <t>49.2481126419227</t>
  </si>
  <si>
    <t xml:space="preserve"> -0.03663077743834108</t>
  </si>
  <si>
    <t>49.229643988139124</t>
  </si>
  <si>
    <t xml:space="preserve"> -0.18726202805412734</t>
  </si>
  <si>
    <t>49.230566352424866</t>
  </si>
  <si>
    <t xml:space="preserve"> -0.19737021449246883</t>
  </si>
  <si>
    <t>49.28237028526734</t>
  </si>
  <si>
    <t xml:space="preserve"> -0.09592412991756644</t>
  </si>
  <si>
    <t>49.28876628223414</t>
  </si>
  <si>
    <t xml:space="preserve"> -0.09643054089879467</t>
  </si>
  <si>
    <t>49.21780169594783</t>
  </si>
  <si>
    <t xml:space="preserve"> -0.09841021053886023</t>
  </si>
  <si>
    <t>49.267931685868575</t>
  </si>
  <si>
    <t xml:space="preserve"> -0.05585908593687636</t>
  </si>
  <si>
    <t>49.262906398573094</t>
  </si>
  <si>
    <t xml:space="preserve"> -0.23017854046550335</t>
  </si>
  <si>
    <t>49.2833384235042</t>
  </si>
  <si>
    <t xml:space="preserve"> -0.1689880342290415</t>
  </si>
  <si>
    <t>49.22461805142385</t>
  </si>
  <si>
    <t xml:space="preserve"> 0.0040460044567040155</t>
  </si>
  <si>
    <t>49.31319124849629</t>
  </si>
  <si>
    <t xml:space="preserve"> -0.022013123103850313</t>
  </si>
  <si>
    <t>49.246312528227755</t>
  </si>
  <si>
    <t xml:space="preserve"> 0.019727783819260134</t>
  </si>
  <si>
    <t>49.23501849598916</t>
  </si>
  <si>
    <t xml:space="preserve"> -0.036048885810860805</t>
  </si>
  <si>
    <t>49.22269261010287</t>
  </si>
  <si>
    <t xml:space="preserve"> -0.04748864437873241</t>
  </si>
  <si>
    <t>49.23361215</t>
  </si>
  <si>
    <t>-0.04988004</t>
  </si>
  <si>
    <t>49.304913</t>
  </si>
  <si>
    <t>-0.057515</t>
  </si>
  <si>
    <t>49.25930718136213</t>
  </si>
  <si>
    <t xml:space="preserve"> -0.04160550775392859</t>
  </si>
  <si>
    <t>49.28766437433906</t>
  </si>
  <si>
    <t xml:space="preserve"> -0.08302035692294123</t>
  </si>
  <si>
    <t>49.29484206368111</t>
  </si>
  <si>
    <t xml:space="preserve"> -0.07850865880602453</t>
  </si>
  <si>
    <t>49.2944952090771</t>
  </si>
  <si>
    <t xml:space="preserve"> -0.07417873417733177</t>
  </si>
  <si>
    <t>49.300153554181314</t>
  </si>
  <si>
    <t xml:space="preserve"> -0.07282907471113972</t>
  </si>
  <si>
    <t>49.299956846277325</t>
  </si>
  <si>
    <t xml:space="preserve"> -0.08072683921302735</t>
  </si>
  <si>
    <t>49.304374631776945</t>
  </si>
  <si>
    <t xml:space="preserve"> -0.07339988238591548</t>
  </si>
  <si>
    <t>49.213634946464346</t>
  </si>
  <si>
    <t xml:space="preserve"> -0.028718256060456</t>
  </si>
  <si>
    <t>49.186107748733654</t>
  </si>
  <si>
    <t xml:space="preserve"> 0.03550904781499566</t>
  </si>
  <si>
    <t>49.23393047384423</t>
  </si>
  <si>
    <t xml:space="preserve"> -0.003637341767769045</t>
  </si>
  <si>
    <t>49.257666431270266</t>
  </si>
  <si>
    <t xml:space="preserve"> -0.14299213816939507</t>
  </si>
  <si>
    <t>49.25399796139467</t>
  </si>
  <si>
    <t xml:space="preserve"> -0.16044736410726881</t>
  </si>
  <si>
    <t>49.2819114200311</t>
  </si>
  <si>
    <t xml:space="preserve"> -0.0914237657643688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</si>
</sst>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charset val="1"/>
    </font>
    <font>
      <sz val="9"/>
      <color rgb="FF555555"/>
      <name val="Calibri"/>
      <charset val="1"/>
    </font>
    <font>
      <b/>
      <sz val="11"/>
      <color rgb="FFFFFFFF"/>
      <name val="Calibri"/>
      <charset val="1"/>
    </font>
    <font>
      <sz val="10"/>
      <color rgb="FF000000"/>
      <name val="Calibri"/>
      <charset val="1"/>
    </font>
    <font>
      <b/>
      <sz val="10"/>
      <color rgb="FF0000FF"/>
      <name val="Calibri"/>
      <charset val="1"/>
    </font>
    <font>
      <sz val="9"/>
      <color rgb="FF777777"/>
      <name val="Calibri"/>
      <charset val="1"/>
    </font>
    <font>
      <b/>
      <sz val="10"/>
      <color rgb="FF000000"/>
      <name val="Calibri"/>
      <charset val="1"/>
    </font>
    <font>
      <b/>
      <sz val="10"/>
      <color rgb="FFB1B993"/>
      <name val="Calibri"/>
      <charset val="1"/>
    </font>
    <font>
      <b/>
      <sz val="9"/>
      <color rgb="FFFFFFFF"/>
      <name val="Calibri"/>
      <charset val="1"/>
    </font>
    <font>
      <b/>
      <sz val="8"/>
      <color rgb="FFFFFFFF"/>
      <name val="Calibri"/>
      <charset val="1"/>
    </font>
    <font>
      <sz val="9"/>
      <color rgb="FF000000"/>
      <name val="Calibri"/>
      <charset val="1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</font>
    <font>
      <sz val="10.5"/>
      <color rgb="FF595959"/>
      <name val="Calibri"/>
    </font>
    <font>
      <i/>
      <sz val="9"/>
      <color rgb="FF808080"/>
      <name val="Calibri"/>
    </font>
    <font>
      <b/>
      <sz val="9"/>
      <color rgb="FFFFFFFF"/>
      <name val="Calibri"/>
    </font>
    <font>
      <b/>
      <sz val="11"/>
      <color rgb="FFFFFFFF"/>
      <name val="Calibri"/>
    </font>
    <font>
      <b/>
      <sz val="8"/>
      <color rgb="FFFFFFFF"/>
      <name val="Calibri"/>
    </font>
    <font>
      <b/>
      <sz val="8.5"/>
      <color rgb="FFFFFFFF"/>
      <name val="Calibri"/>
    </font>
    <font>
      <sz val="9"/>
      <color rgb="FF2B2B2B"/>
      <name val="Calibri"/>
    </font>
    <font>
      <b/>
      <sz val="8.5"/>
      <color rgb="FF2B2B2B"/>
      <name val="Calibri"/>
    </font>
    <font>
      <b/>
      <sz val="10"/>
      <color rgb="FFB91E27"/>
      <name val="Calibri"/>
    </font>
    <font>
      <b/>
      <sz val="8.5"/>
      <color rgb="FF595959"/>
      <name val="Calibri"/>
    </font>
    <font>
      <sz val="8.5"/>
      <color rgb="FF2B2B2B"/>
      <name val="Calibri"/>
    </font>
    <font>
      <i/>
      <sz val="8.5"/>
      <color rgb="FF2B2B2B"/>
      <name val="Calibri"/>
    </font>
    <font>
      <b/>
      <sz val="9"/>
      <color rgb="FFB91E27"/>
      <name val="Calibri"/>
    </font>
  </fonts>
  <fills count="27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</fills>
  <borders count="2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rgb="FF9C9C9C"/>
      </left>
      <right/>
      <top/>
      <bottom/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15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0" fontId="0" fillId="0" borderId="9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29" fillId="13" borderId="11" xfId="2" applyFont="1" applyFill="1" applyBorder="1" applyAlignment="1">
      <alignment horizontal="center" vertical="center"/>
    </xf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31" fillId="0" borderId="15" xfId="2" applyFont="1" applyBorder="1" applyAlignment="1">
      <alignment horizontal="left" vertical="center" indent="1"/>
    </xf>
    <xf numFmtId="0" fontId="1" fillId="14" borderId="16" xfId="2" applyFill="1" applyBorder="1"/>
    <xf numFmtId="0" fontId="1" fillId="14" borderId="17" xfId="2" applyFill="1" applyBorder="1"/>
    <xf numFmtId="0" fontId="1" fillId="0" borderId="17" xfId="2" applyBorder="1"/>
    <xf numFmtId="0" fontId="1" fillId="0" borderId="18" xfId="2" applyBorder="1"/>
    <xf numFmtId="0" fontId="1" fillId="0" borderId="16" xfId="2" applyBorder="1"/>
    <xf numFmtId="0" fontId="1" fillId="15" borderId="17" xfId="2" applyFill="1" applyBorder="1"/>
    <xf numFmtId="0" fontId="1" fillId="15" borderId="18" xfId="2" applyFill="1" applyBorder="1"/>
    <xf numFmtId="0" fontId="1" fillId="15" borderId="16" xfId="2" applyFill="1" applyBorder="1"/>
    <xf numFmtId="0" fontId="31" fillId="0" borderId="15" xfId="2" applyFont="1" applyBorder="1" applyAlignment="1">
      <alignment horizontal="left" vertical="center" wrapText="1" indent="1"/>
    </xf>
    <xf numFmtId="0" fontId="1" fillId="16" borderId="17" xfId="2" applyFill="1" applyBorder="1"/>
    <xf numFmtId="0" fontId="1" fillId="16" borderId="18" xfId="2" applyFill="1" applyBorder="1"/>
    <xf numFmtId="0" fontId="1" fillId="16" borderId="16" xfId="2" applyFill="1" applyBorder="1"/>
    <xf numFmtId="0" fontId="1" fillId="17" borderId="18" xfId="2" applyFill="1" applyBorder="1"/>
    <xf numFmtId="0" fontId="1" fillId="17" borderId="16" xfId="2" applyFill="1" applyBorder="1"/>
    <xf numFmtId="0" fontId="1" fillId="17" borderId="17" xfId="2" applyFill="1" applyBorder="1"/>
    <xf numFmtId="0" fontId="1" fillId="18" borderId="16" xfId="2" applyFill="1" applyBorder="1"/>
    <xf numFmtId="0" fontId="1" fillId="18" borderId="17" xfId="2" applyFill="1" applyBorder="1"/>
    <xf numFmtId="0" fontId="1" fillId="18" borderId="18" xfId="2" applyFill="1" applyBorder="1"/>
    <xf numFmtId="0" fontId="1" fillId="19" borderId="18" xfId="2" applyFill="1" applyBorder="1"/>
    <xf numFmtId="0" fontId="1" fillId="19" borderId="16" xfId="2" applyFill="1" applyBorder="1"/>
    <xf numFmtId="0" fontId="1" fillId="19" borderId="17" xfId="2" applyFill="1" applyBorder="1"/>
    <xf numFmtId="0" fontId="1" fillId="20" borderId="17" xfId="2" applyFill="1" applyBorder="1"/>
    <xf numFmtId="0" fontId="1" fillId="20" borderId="18" xfId="2" applyFill="1" applyBorder="1"/>
    <xf numFmtId="0" fontId="1" fillId="20" borderId="16" xfId="2" applyFill="1" applyBorder="1"/>
    <xf numFmtId="0" fontId="1" fillId="21" borderId="17" xfId="2" applyFill="1" applyBorder="1"/>
    <xf numFmtId="0" fontId="1" fillId="21" borderId="18" xfId="2" applyFill="1" applyBorder="1"/>
    <xf numFmtId="0" fontId="1" fillId="21" borderId="16" xfId="2" applyFill="1" applyBorder="1"/>
    <xf numFmtId="0" fontId="1" fillId="22" borderId="17" xfId="2" applyFill="1" applyBorder="1"/>
    <xf numFmtId="0" fontId="1" fillId="22" borderId="18" xfId="2" applyFill="1" applyBorder="1"/>
    <xf numFmtId="0" fontId="1" fillId="22" borderId="16" xfId="2" applyFill="1" applyBorder="1"/>
    <xf numFmtId="0" fontId="1" fillId="23" borderId="17" xfId="2" applyFill="1" applyBorder="1"/>
    <xf numFmtId="0" fontId="1" fillId="23" borderId="18" xfId="2" applyFill="1" applyBorder="1"/>
    <xf numFmtId="0" fontId="1" fillId="23" borderId="16" xfId="2" applyFill="1" applyBorder="1"/>
    <xf numFmtId="0" fontId="1" fillId="24" borderId="17" xfId="2" applyFill="1" applyBorder="1"/>
    <xf numFmtId="0" fontId="1" fillId="24" borderId="18" xfId="2" applyFill="1" applyBorder="1"/>
    <xf numFmtId="0" fontId="1" fillId="24" borderId="16" xfId="2" applyFill="1" applyBorder="1"/>
    <xf numFmtId="0" fontId="30" fillId="25" borderId="14" xfId="2" applyFont="1" applyFill="1" applyBorder="1" applyAlignment="1">
      <alignment horizontal="center" vertical="center" wrapText="1"/>
    </xf>
    <xf numFmtId="0" fontId="1" fillId="0" borderId="19" xfId="2" applyBorder="1"/>
    <xf numFmtId="0" fontId="1" fillId="0" borderId="20" xfId="2" applyBorder="1"/>
    <xf numFmtId="0" fontId="1" fillId="0" borderId="21" xfId="2" applyBorder="1"/>
    <xf numFmtId="0" fontId="1" fillId="26" borderId="20" xfId="2" applyFill="1" applyBorder="1"/>
    <xf numFmtId="0" fontId="1" fillId="26" borderId="21" xfId="2" applyFill="1" applyBorder="1"/>
    <xf numFmtId="0" fontId="1" fillId="26" borderId="19" xfId="2" applyFill="1" applyBorder="1"/>
    <xf numFmtId="0" fontId="33" fillId="0" borderId="0" xfId="2" applyFont="1"/>
    <xf numFmtId="0" fontId="34" fillId="0" borderId="0" xfId="2" applyFont="1"/>
    <xf numFmtId="0" fontId="1" fillId="14" borderId="14" xfId="2" applyFill="1" applyBorder="1"/>
    <xf numFmtId="0" fontId="1" fillId="16" borderId="14" xfId="2" applyFill="1" applyBorder="1"/>
    <xf numFmtId="0" fontId="1" fillId="17" borderId="14" xfId="2" applyFill="1" applyBorder="1"/>
    <xf numFmtId="0" fontId="1" fillId="19" borderId="14" xfId="2" applyFill="1" applyBorder="1"/>
    <xf numFmtId="0" fontId="1" fillId="21" borderId="14" xfId="2" applyFill="1" applyBorder="1"/>
    <xf numFmtId="0" fontId="1" fillId="23" borderId="14" xfId="2" applyFill="1" applyBorder="1"/>
    <xf numFmtId="0" fontId="1" fillId="25" borderId="14" xfId="2" applyFill="1" applyBorder="1"/>
    <xf numFmtId="0" fontId="32" fillId="23" borderId="14" xfId="2" applyFont="1" applyFill="1" applyBorder="1" applyAlignment="1">
      <alignment horizontal="center" vertical="center" wrapText="1"/>
    </xf>
    <xf numFmtId="0" fontId="1" fillId="0" borderId="14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10" xfId="2" applyFont="1" applyFill="1" applyBorder="1" applyAlignment="1">
      <alignment horizontal="center" vertical="center"/>
    </xf>
    <xf numFmtId="0" fontId="30" fillId="14" borderId="14" xfId="2" applyFont="1" applyFill="1" applyBorder="1" applyAlignment="1">
      <alignment horizontal="center" vertical="center" wrapText="1"/>
    </xf>
    <xf numFmtId="0" fontId="30" fillId="16" borderId="14" xfId="2" applyFont="1" applyFill="1" applyBorder="1" applyAlignment="1">
      <alignment horizontal="center" vertical="center" wrapText="1"/>
    </xf>
    <xf numFmtId="0" fontId="30" fillId="17" borderId="14" xfId="2" applyFont="1" applyFill="1" applyBorder="1" applyAlignment="1">
      <alignment horizontal="center" vertical="center" wrapText="1"/>
    </xf>
    <xf numFmtId="0" fontId="30" fillId="19" borderId="14" xfId="2" applyFont="1" applyFill="1" applyBorder="1" applyAlignment="1">
      <alignment horizontal="center" vertical="center" wrapText="1"/>
    </xf>
    <xf numFmtId="0" fontId="30" fillId="21" borderId="14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0" fillId="0" borderId="0" xfId="0"/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3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25" totalsRowShown="0">
  <autoFilter ref="A2:P125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/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tabSelected="1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activeCell="B22" sqref="B22"/>
    </sheetView>
  </sheetViews>
  <sheetFormatPr baseColWidth="10" defaultColWidth="9.140625" defaultRowHeight="15" x14ac:dyDescent="0.25"/>
  <cols>
    <col min="1" max="1" width="17" style="32" customWidth="1"/>
    <col min="2" max="2" width="56.5703125" style="32" customWidth="1"/>
    <col min="3" max="26" width="5.7109375" style="32" customWidth="1"/>
    <col min="27" max="16384" width="9.140625" style="32"/>
  </cols>
  <sheetData>
    <row r="1" spans="1:26" ht="26.1" customHeight="1" x14ac:dyDescent="0.25">
      <c r="A1" s="91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 spans="1:26" x14ac:dyDescent="0.25">
      <c r="A2" s="93" t="s">
        <v>1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</row>
    <row r="3" spans="1:26" ht="14.1" customHeight="1" x14ac:dyDescent="0.25">
      <c r="A3" s="94" t="s">
        <v>2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</row>
    <row r="5" spans="1:26" ht="18" customHeight="1" thickBot="1" x14ac:dyDescent="0.3">
      <c r="A5" s="95" t="s">
        <v>3</v>
      </c>
      <c r="B5" s="95" t="s">
        <v>4</v>
      </c>
      <c r="C5" s="96" t="s">
        <v>5</v>
      </c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7" t="s">
        <v>6</v>
      </c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</row>
    <row r="6" spans="1:26" ht="15.95" customHeight="1" x14ac:dyDescent="0.25">
      <c r="A6" s="92"/>
      <c r="B6" s="92"/>
      <c r="C6" s="33" t="s">
        <v>7</v>
      </c>
      <c r="D6" s="34" t="s">
        <v>8</v>
      </c>
      <c r="E6" s="34" t="s">
        <v>9</v>
      </c>
      <c r="F6" s="34" t="s">
        <v>10</v>
      </c>
      <c r="G6" s="34" t="s">
        <v>11</v>
      </c>
      <c r="H6" s="35" t="s">
        <v>12</v>
      </c>
      <c r="I6" s="33" t="s">
        <v>13</v>
      </c>
      <c r="J6" s="34" t="s">
        <v>14</v>
      </c>
      <c r="K6" s="34" t="s">
        <v>15</v>
      </c>
      <c r="L6" s="34" t="s">
        <v>16</v>
      </c>
      <c r="M6" s="34" t="s">
        <v>17</v>
      </c>
      <c r="N6" s="35" t="s">
        <v>18</v>
      </c>
      <c r="O6" s="33" t="s">
        <v>7</v>
      </c>
      <c r="P6" s="34" t="s">
        <v>8</v>
      </c>
      <c r="Q6" s="34" t="s">
        <v>9</v>
      </c>
      <c r="R6" s="34" t="s">
        <v>10</v>
      </c>
      <c r="S6" s="34" t="s">
        <v>11</v>
      </c>
      <c r="T6" s="35" t="s">
        <v>12</v>
      </c>
      <c r="U6" s="33" t="s">
        <v>13</v>
      </c>
      <c r="V6" s="34" t="s">
        <v>14</v>
      </c>
      <c r="W6" s="34" t="s">
        <v>15</v>
      </c>
      <c r="X6" s="34" t="s">
        <v>16</v>
      </c>
      <c r="Y6" s="34" t="s">
        <v>17</v>
      </c>
      <c r="Z6" s="35" t="s">
        <v>18</v>
      </c>
    </row>
    <row r="7" spans="1:26" ht="30" customHeight="1" x14ac:dyDescent="0.25">
      <c r="A7" s="98" t="s">
        <v>19</v>
      </c>
      <c r="B7" s="36" t="s">
        <v>20</v>
      </c>
      <c r="C7" s="37"/>
      <c r="D7" s="38"/>
      <c r="E7" s="39"/>
      <c r="F7" s="39"/>
      <c r="G7" s="39"/>
      <c r="H7" s="40"/>
      <c r="I7" s="41"/>
      <c r="J7" s="39"/>
      <c r="K7" s="39"/>
      <c r="L7" s="39"/>
      <c r="M7" s="39"/>
      <c r="N7" s="40"/>
      <c r="O7" s="41"/>
      <c r="P7" s="39"/>
      <c r="Q7" s="39"/>
      <c r="R7" s="39"/>
      <c r="S7" s="39"/>
      <c r="T7" s="40"/>
      <c r="U7" s="41"/>
      <c r="V7" s="39"/>
      <c r="W7" s="39"/>
      <c r="X7" s="39"/>
      <c r="Y7" s="39"/>
      <c r="Z7" s="40"/>
    </row>
    <row r="8" spans="1:26" ht="30" customHeight="1" x14ac:dyDescent="0.25">
      <c r="A8" s="90"/>
      <c r="B8" s="36" t="s">
        <v>21</v>
      </c>
      <c r="C8" s="41"/>
      <c r="D8" s="39"/>
      <c r="E8" s="38"/>
      <c r="F8" s="38"/>
      <c r="G8" s="38"/>
      <c r="H8" s="40"/>
      <c r="I8" s="41"/>
      <c r="J8" s="39"/>
      <c r="K8" s="39"/>
      <c r="L8" s="39"/>
      <c r="M8" s="39"/>
      <c r="N8" s="40"/>
      <c r="O8" s="41"/>
      <c r="P8" s="39"/>
      <c r="Q8" s="39"/>
      <c r="R8" s="39"/>
      <c r="S8" s="39"/>
      <c r="T8" s="40"/>
      <c r="U8" s="41"/>
      <c r="V8" s="39"/>
      <c r="W8" s="39"/>
      <c r="X8" s="39"/>
      <c r="Y8" s="39"/>
      <c r="Z8" s="40"/>
    </row>
    <row r="9" spans="1:26" ht="30" customHeight="1" x14ac:dyDescent="0.25">
      <c r="A9" s="90"/>
      <c r="B9" s="36" t="s">
        <v>22</v>
      </c>
      <c r="C9" s="41"/>
      <c r="D9" s="39"/>
      <c r="E9" s="42"/>
      <c r="F9" s="42"/>
      <c r="G9" s="42"/>
      <c r="H9" s="43"/>
      <c r="I9" s="44"/>
      <c r="J9" s="42"/>
      <c r="K9" s="42"/>
      <c r="L9" s="42"/>
      <c r="M9" s="42"/>
      <c r="N9" s="43"/>
      <c r="O9" s="44"/>
      <c r="P9" s="42"/>
      <c r="Q9" s="42"/>
      <c r="R9" s="42"/>
      <c r="S9" s="42"/>
      <c r="T9" s="43"/>
      <c r="U9" s="44"/>
      <c r="V9" s="42"/>
      <c r="W9" s="42"/>
      <c r="X9" s="42"/>
      <c r="Y9" s="42"/>
      <c r="Z9" s="43"/>
    </row>
    <row r="10" spans="1:26" ht="30" customHeight="1" x14ac:dyDescent="0.25">
      <c r="A10" s="90"/>
      <c r="B10" s="45" t="s">
        <v>23</v>
      </c>
      <c r="C10" s="41"/>
      <c r="D10" s="39"/>
      <c r="E10" s="39"/>
      <c r="F10" s="39"/>
      <c r="G10" s="39"/>
      <c r="H10" s="43"/>
      <c r="I10" s="44"/>
      <c r="J10" s="42"/>
      <c r="K10" s="42"/>
      <c r="L10" s="42"/>
      <c r="M10" s="42"/>
      <c r="N10" s="43"/>
      <c r="O10" s="44"/>
      <c r="P10" s="42"/>
      <c r="Q10" s="42"/>
      <c r="R10" s="42"/>
      <c r="S10" s="42"/>
      <c r="T10" s="43"/>
      <c r="U10" s="44"/>
      <c r="V10" s="42"/>
      <c r="W10" s="42"/>
      <c r="X10" s="42"/>
      <c r="Y10" s="42"/>
      <c r="Z10" s="43"/>
    </row>
    <row r="11" spans="1:26" ht="30" customHeight="1" x14ac:dyDescent="0.25">
      <c r="A11" s="99" t="s">
        <v>24</v>
      </c>
      <c r="B11" s="36" t="s">
        <v>25</v>
      </c>
      <c r="C11" s="41"/>
      <c r="D11" s="39"/>
      <c r="E11" s="46"/>
      <c r="F11" s="46"/>
      <c r="G11" s="46"/>
      <c r="H11" s="47"/>
      <c r="I11" s="41"/>
      <c r="J11" s="39"/>
      <c r="K11" s="39"/>
      <c r="L11" s="39"/>
      <c r="M11" s="39"/>
      <c r="N11" s="40"/>
      <c r="O11" s="41"/>
      <c r="P11" s="39"/>
      <c r="Q11" s="39"/>
      <c r="R11" s="39"/>
      <c r="S11" s="39"/>
      <c r="T11" s="40"/>
      <c r="U11" s="41"/>
      <c r="V11" s="39"/>
      <c r="W11" s="39"/>
      <c r="X11" s="39"/>
      <c r="Y11" s="39"/>
      <c r="Z11" s="40"/>
    </row>
    <row r="12" spans="1:26" ht="30" customHeight="1" x14ac:dyDescent="0.25">
      <c r="A12" s="90"/>
      <c r="B12" s="36" t="s">
        <v>26</v>
      </c>
      <c r="C12" s="41"/>
      <c r="D12" s="39"/>
      <c r="E12" s="39"/>
      <c r="F12" s="39"/>
      <c r="G12" s="39"/>
      <c r="H12" s="47"/>
      <c r="I12" s="48"/>
      <c r="J12" s="46"/>
      <c r="K12" s="46"/>
      <c r="L12" s="39"/>
      <c r="M12" s="39"/>
      <c r="N12" s="40"/>
      <c r="O12" s="41"/>
      <c r="P12" s="39"/>
      <c r="Q12" s="39"/>
      <c r="R12" s="39"/>
      <c r="S12" s="39"/>
      <c r="T12" s="40"/>
      <c r="U12" s="41"/>
      <c r="V12" s="39"/>
      <c r="W12" s="39"/>
      <c r="X12" s="39"/>
      <c r="Y12" s="39"/>
      <c r="Z12" s="40"/>
    </row>
    <row r="13" spans="1:26" ht="30" customHeight="1" x14ac:dyDescent="0.25">
      <c r="A13" s="90"/>
      <c r="B13" s="36" t="s">
        <v>27</v>
      </c>
      <c r="C13" s="41"/>
      <c r="D13" s="39"/>
      <c r="E13" s="39"/>
      <c r="F13" s="39"/>
      <c r="G13" s="39"/>
      <c r="H13" s="40"/>
      <c r="I13" s="41"/>
      <c r="J13" s="39"/>
      <c r="K13" s="46"/>
      <c r="L13" s="46"/>
      <c r="M13" s="46"/>
      <c r="N13" s="47"/>
      <c r="O13" s="48"/>
      <c r="P13" s="46"/>
      <c r="Q13" s="46"/>
      <c r="R13" s="39"/>
      <c r="S13" s="39"/>
      <c r="T13" s="40"/>
      <c r="U13" s="41"/>
      <c r="V13" s="39"/>
      <c r="W13" s="39"/>
      <c r="X13" s="39"/>
      <c r="Y13" s="39"/>
      <c r="Z13" s="40"/>
    </row>
    <row r="14" spans="1:26" ht="30" customHeight="1" x14ac:dyDescent="0.25">
      <c r="A14" s="100" t="s">
        <v>28</v>
      </c>
      <c r="B14" s="36" t="s">
        <v>29</v>
      </c>
      <c r="C14" s="41"/>
      <c r="D14" s="39"/>
      <c r="E14" s="39"/>
      <c r="F14" s="39"/>
      <c r="G14" s="39"/>
      <c r="H14" s="49"/>
      <c r="I14" s="50"/>
      <c r="J14" s="39"/>
      <c r="K14" s="39"/>
      <c r="L14" s="39"/>
      <c r="M14" s="39"/>
      <c r="N14" s="40"/>
      <c r="O14" s="41"/>
      <c r="P14" s="39"/>
      <c r="Q14" s="39"/>
      <c r="R14" s="39"/>
      <c r="S14" s="39"/>
      <c r="T14" s="40"/>
      <c r="U14" s="41"/>
      <c r="V14" s="39"/>
      <c r="W14" s="39"/>
      <c r="X14" s="39"/>
      <c r="Y14" s="39"/>
      <c r="Z14" s="40"/>
    </row>
    <row r="15" spans="1:26" ht="30" customHeight="1" x14ac:dyDescent="0.25">
      <c r="A15" s="90"/>
      <c r="B15" s="36" t="s">
        <v>30</v>
      </c>
      <c r="C15" s="41"/>
      <c r="D15" s="39"/>
      <c r="E15" s="39"/>
      <c r="F15" s="39"/>
      <c r="G15" s="39"/>
      <c r="H15" s="40"/>
      <c r="I15" s="41"/>
      <c r="J15" s="51"/>
      <c r="K15" s="51"/>
      <c r="L15" s="51"/>
      <c r="M15" s="39"/>
      <c r="N15" s="40"/>
      <c r="O15" s="41"/>
      <c r="P15" s="39"/>
      <c r="Q15" s="39"/>
      <c r="R15" s="39"/>
      <c r="S15" s="39"/>
      <c r="T15" s="40"/>
      <c r="U15" s="41"/>
      <c r="V15" s="39"/>
      <c r="W15" s="39"/>
      <c r="X15" s="39"/>
      <c r="Y15" s="39"/>
      <c r="Z15" s="40"/>
    </row>
    <row r="16" spans="1:26" ht="30" customHeight="1" x14ac:dyDescent="0.25">
      <c r="A16" s="90"/>
      <c r="B16" s="36" t="s">
        <v>31</v>
      </c>
      <c r="C16" s="41"/>
      <c r="D16" s="39"/>
      <c r="E16" s="39"/>
      <c r="F16" s="39"/>
      <c r="G16" s="39"/>
      <c r="H16" s="40"/>
      <c r="I16" s="41"/>
      <c r="J16" s="39"/>
      <c r="K16" s="39"/>
      <c r="L16" s="39"/>
      <c r="M16" s="51"/>
      <c r="N16" s="49"/>
      <c r="O16" s="50"/>
      <c r="P16" s="39"/>
      <c r="Q16" s="39"/>
      <c r="R16" s="39"/>
      <c r="S16" s="39"/>
      <c r="T16" s="40"/>
      <c r="U16" s="41"/>
      <c r="V16" s="39"/>
      <c r="W16" s="39"/>
      <c r="X16" s="39"/>
      <c r="Y16" s="39"/>
      <c r="Z16" s="40"/>
    </row>
    <row r="17" spans="1:26" ht="30" customHeight="1" x14ac:dyDescent="0.25">
      <c r="A17" s="90"/>
      <c r="B17" s="36" t="s">
        <v>32</v>
      </c>
      <c r="C17" s="41"/>
      <c r="D17" s="39"/>
      <c r="E17" s="39"/>
      <c r="F17" s="39"/>
      <c r="G17" s="39"/>
      <c r="H17" s="40"/>
      <c r="I17" s="41"/>
      <c r="J17" s="39"/>
      <c r="K17" s="39"/>
      <c r="L17" s="39"/>
      <c r="M17" s="39"/>
      <c r="N17" s="40"/>
      <c r="O17" s="41"/>
      <c r="P17" s="51"/>
      <c r="Q17" s="51"/>
      <c r="R17" s="51"/>
      <c r="S17" s="51"/>
      <c r="T17" s="49"/>
      <c r="U17" s="50"/>
      <c r="V17" s="39"/>
      <c r="W17" s="39"/>
      <c r="X17" s="39"/>
      <c r="Y17" s="39"/>
      <c r="Z17" s="40"/>
    </row>
    <row r="18" spans="1:26" ht="30" customHeight="1" x14ac:dyDescent="0.25">
      <c r="A18" s="90"/>
      <c r="B18" s="36" t="s">
        <v>33</v>
      </c>
      <c r="C18" s="41"/>
      <c r="D18" s="39"/>
      <c r="E18" s="39"/>
      <c r="F18" s="39"/>
      <c r="G18" s="39"/>
      <c r="H18" s="40"/>
      <c r="I18" s="52"/>
      <c r="J18" s="53"/>
      <c r="K18" s="53"/>
      <c r="L18" s="53"/>
      <c r="M18" s="53"/>
      <c r="N18" s="54"/>
      <c r="O18" s="52"/>
      <c r="P18" s="53"/>
      <c r="Q18" s="53"/>
      <c r="R18" s="53"/>
      <c r="S18" s="53"/>
      <c r="T18" s="54"/>
      <c r="U18" s="41"/>
      <c r="V18" s="39"/>
      <c r="W18" s="39"/>
      <c r="X18" s="39"/>
      <c r="Y18" s="39"/>
      <c r="Z18" s="40"/>
    </row>
    <row r="19" spans="1:26" ht="30" customHeight="1" x14ac:dyDescent="0.25">
      <c r="A19" s="101" t="s">
        <v>34</v>
      </c>
      <c r="B19" s="36" t="s">
        <v>35</v>
      </c>
      <c r="C19" s="41"/>
      <c r="D19" s="39"/>
      <c r="E19" s="39"/>
      <c r="F19" s="39"/>
      <c r="G19" s="39"/>
      <c r="H19" s="55"/>
      <c r="I19" s="56"/>
      <c r="J19" s="57"/>
      <c r="K19" s="39"/>
      <c r="L19" s="39"/>
      <c r="M19" s="39"/>
      <c r="N19" s="40"/>
      <c r="O19" s="41"/>
      <c r="P19" s="39"/>
      <c r="Q19" s="39"/>
      <c r="R19" s="39"/>
      <c r="S19" s="39"/>
      <c r="T19" s="40"/>
      <c r="U19" s="41"/>
      <c r="V19" s="39"/>
      <c r="W19" s="39"/>
      <c r="X19" s="39"/>
      <c r="Y19" s="39"/>
      <c r="Z19" s="40"/>
    </row>
    <row r="20" spans="1:26" ht="30" customHeight="1" x14ac:dyDescent="0.25">
      <c r="A20" s="90"/>
      <c r="B20" s="36" t="s">
        <v>36</v>
      </c>
      <c r="C20" s="41"/>
      <c r="D20" s="39"/>
      <c r="E20" s="39"/>
      <c r="F20" s="39"/>
      <c r="G20" s="39"/>
      <c r="H20" s="40"/>
      <c r="I20" s="56"/>
      <c r="J20" s="57"/>
      <c r="K20" s="39"/>
      <c r="L20" s="39"/>
      <c r="M20" s="39"/>
      <c r="N20" s="40"/>
      <c r="O20" s="41"/>
      <c r="P20" s="39"/>
      <c r="Q20" s="39"/>
      <c r="R20" s="39"/>
      <c r="S20" s="39"/>
      <c r="T20" s="40"/>
      <c r="U20" s="41"/>
      <c r="V20" s="39"/>
      <c r="W20" s="39"/>
      <c r="X20" s="39"/>
      <c r="Y20" s="39"/>
      <c r="Z20" s="40"/>
    </row>
    <row r="21" spans="1:26" ht="30" customHeight="1" x14ac:dyDescent="0.25">
      <c r="A21" s="90"/>
      <c r="B21" s="36" t="s">
        <v>37</v>
      </c>
      <c r="C21" s="41"/>
      <c r="D21" s="39"/>
      <c r="E21" s="39"/>
      <c r="F21" s="39"/>
      <c r="G21" s="39"/>
      <c r="H21" s="40"/>
      <c r="I21" s="41"/>
      <c r="J21" s="39"/>
      <c r="K21" s="57"/>
      <c r="L21" s="57"/>
      <c r="M21" s="57"/>
      <c r="N21" s="40"/>
      <c r="O21" s="41"/>
      <c r="P21" s="39"/>
      <c r="Q21" s="39"/>
      <c r="R21" s="39"/>
      <c r="S21" s="39"/>
      <c r="T21" s="40"/>
      <c r="U21" s="41"/>
      <c r="V21" s="39"/>
      <c r="W21" s="39"/>
      <c r="X21" s="39"/>
      <c r="Y21" s="39"/>
      <c r="Z21" s="40"/>
    </row>
    <row r="22" spans="1:26" ht="30" customHeight="1" x14ac:dyDescent="0.25">
      <c r="A22" s="90"/>
      <c r="B22" s="36" t="s">
        <v>38</v>
      </c>
      <c r="C22" s="41"/>
      <c r="D22" s="39"/>
      <c r="E22" s="39"/>
      <c r="F22" s="39"/>
      <c r="G22" s="39"/>
      <c r="H22" s="40"/>
      <c r="I22" s="41"/>
      <c r="J22" s="39"/>
      <c r="K22" s="39"/>
      <c r="L22" s="39"/>
      <c r="M22" s="39"/>
      <c r="N22" s="55"/>
      <c r="O22" s="56"/>
      <c r="P22" s="57"/>
      <c r="Q22" s="57"/>
      <c r="R22" s="57"/>
      <c r="S22" s="57"/>
      <c r="T22" s="40"/>
      <c r="U22" s="41"/>
      <c r="V22" s="39"/>
      <c r="W22" s="39"/>
      <c r="X22" s="39"/>
      <c r="Y22" s="39"/>
      <c r="Z22" s="40"/>
    </row>
    <row r="23" spans="1:26" ht="30" customHeight="1" x14ac:dyDescent="0.25">
      <c r="A23" s="90"/>
      <c r="B23" s="36" t="s">
        <v>39</v>
      </c>
      <c r="C23" s="41"/>
      <c r="D23" s="39"/>
      <c r="E23" s="39"/>
      <c r="F23" s="39"/>
      <c r="G23" s="39"/>
      <c r="H23" s="40"/>
      <c r="I23" s="41"/>
      <c r="J23" s="39"/>
      <c r="K23" s="58"/>
      <c r="L23" s="58"/>
      <c r="M23" s="58"/>
      <c r="N23" s="59"/>
      <c r="O23" s="60"/>
      <c r="P23" s="58"/>
      <c r="Q23" s="58"/>
      <c r="R23" s="58"/>
      <c r="S23" s="58"/>
      <c r="T23" s="59"/>
      <c r="U23" s="60"/>
      <c r="V23" s="39"/>
      <c r="W23" s="39"/>
      <c r="X23" s="39"/>
      <c r="Y23" s="39"/>
      <c r="Z23" s="40"/>
    </row>
    <row r="24" spans="1:26" ht="30" customHeight="1" x14ac:dyDescent="0.25">
      <c r="A24" s="102" t="s">
        <v>40</v>
      </c>
      <c r="B24" s="36" t="s">
        <v>41</v>
      </c>
      <c r="C24" s="41"/>
      <c r="D24" s="39"/>
      <c r="E24" s="39"/>
      <c r="F24" s="39"/>
      <c r="G24" s="61"/>
      <c r="H24" s="62"/>
      <c r="I24" s="63"/>
      <c r="J24" s="61"/>
      <c r="K24" s="39"/>
      <c r="L24" s="39"/>
      <c r="M24" s="39"/>
      <c r="N24" s="40"/>
      <c r="O24" s="41"/>
      <c r="P24" s="39"/>
      <c r="Q24" s="39"/>
      <c r="R24" s="39"/>
      <c r="S24" s="39"/>
      <c r="T24" s="40"/>
      <c r="U24" s="41"/>
      <c r="V24" s="39"/>
      <c r="W24" s="39"/>
      <c r="X24" s="39"/>
      <c r="Y24" s="39"/>
      <c r="Z24" s="40"/>
    </row>
    <row r="25" spans="1:26" ht="30" customHeight="1" x14ac:dyDescent="0.25">
      <c r="A25" s="90"/>
      <c r="B25" s="36" t="s">
        <v>42</v>
      </c>
      <c r="C25" s="41"/>
      <c r="D25" s="39"/>
      <c r="E25" s="39"/>
      <c r="F25" s="39"/>
      <c r="G25" s="61"/>
      <c r="H25" s="62"/>
      <c r="I25" s="63"/>
      <c r="J25" s="39"/>
      <c r="K25" s="39"/>
      <c r="L25" s="39"/>
      <c r="M25" s="39"/>
      <c r="N25" s="40"/>
      <c r="O25" s="41"/>
      <c r="P25" s="39"/>
      <c r="Q25" s="39"/>
      <c r="R25" s="39"/>
      <c r="S25" s="39"/>
      <c r="T25" s="40"/>
      <c r="U25" s="41"/>
      <c r="V25" s="39"/>
      <c r="W25" s="39"/>
      <c r="X25" s="39"/>
      <c r="Y25" s="39"/>
      <c r="Z25" s="40"/>
    </row>
    <row r="26" spans="1:26" ht="30" customHeight="1" x14ac:dyDescent="0.25">
      <c r="A26" s="90"/>
      <c r="B26" s="36" t="s">
        <v>43</v>
      </c>
      <c r="C26" s="41"/>
      <c r="D26" s="39"/>
      <c r="E26" s="39"/>
      <c r="F26" s="39"/>
      <c r="G26" s="39"/>
      <c r="H26" s="40"/>
      <c r="I26" s="41"/>
      <c r="J26" s="64"/>
      <c r="K26" s="64"/>
      <c r="L26" s="64"/>
      <c r="M26" s="64"/>
      <c r="N26" s="65"/>
      <c r="O26" s="66"/>
      <c r="P26" s="64"/>
      <c r="Q26" s="64"/>
      <c r="R26" s="64"/>
      <c r="S26" s="64"/>
      <c r="T26" s="65"/>
      <c r="U26" s="66"/>
      <c r="V26" s="64"/>
      <c r="W26" s="64"/>
      <c r="X26" s="39"/>
      <c r="Y26" s="39"/>
      <c r="Z26" s="40"/>
    </row>
    <row r="27" spans="1:26" ht="30" customHeight="1" x14ac:dyDescent="0.25">
      <c r="A27" s="89" t="s">
        <v>44</v>
      </c>
      <c r="B27" s="36" t="s">
        <v>45</v>
      </c>
      <c r="C27" s="41"/>
      <c r="D27" s="39"/>
      <c r="E27" s="39"/>
      <c r="F27" s="39"/>
      <c r="G27" s="39"/>
      <c r="H27" s="40"/>
      <c r="I27" s="41"/>
      <c r="J27" s="67"/>
      <c r="K27" s="67"/>
      <c r="L27" s="67"/>
      <c r="M27" s="67"/>
      <c r="N27" s="40"/>
      <c r="O27" s="41"/>
      <c r="P27" s="39"/>
      <c r="Q27" s="39"/>
      <c r="R27" s="39"/>
      <c r="S27" s="39"/>
      <c r="T27" s="40"/>
      <c r="U27" s="41"/>
      <c r="V27" s="39"/>
      <c r="W27" s="39"/>
      <c r="X27" s="39"/>
      <c r="Y27" s="39"/>
      <c r="Z27" s="40"/>
    </row>
    <row r="28" spans="1:26" ht="30" customHeight="1" x14ac:dyDescent="0.25">
      <c r="A28" s="90"/>
      <c r="B28" s="36" t="s">
        <v>46</v>
      </c>
      <c r="C28" s="41"/>
      <c r="D28" s="39"/>
      <c r="E28" s="39"/>
      <c r="F28" s="39"/>
      <c r="G28" s="39"/>
      <c r="H28" s="40"/>
      <c r="I28" s="41"/>
      <c r="J28" s="39"/>
      <c r="K28" s="39"/>
      <c r="L28" s="39"/>
      <c r="M28" s="67"/>
      <c r="N28" s="68"/>
      <c r="O28" s="69"/>
      <c r="P28" s="67"/>
      <c r="Q28" s="67"/>
      <c r="R28" s="39"/>
      <c r="S28" s="39"/>
      <c r="T28" s="40"/>
      <c r="U28" s="41"/>
      <c r="V28" s="39"/>
      <c r="W28" s="39"/>
      <c r="X28" s="39"/>
      <c r="Y28" s="39"/>
      <c r="Z28" s="40"/>
    </row>
    <row r="29" spans="1:26" ht="30" customHeight="1" x14ac:dyDescent="0.25">
      <c r="A29" s="90"/>
      <c r="B29" s="36" t="s">
        <v>47</v>
      </c>
      <c r="C29" s="41"/>
      <c r="D29" s="39"/>
      <c r="E29" s="39"/>
      <c r="F29" s="39"/>
      <c r="G29" s="39"/>
      <c r="H29" s="40"/>
      <c r="I29" s="41"/>
      <c r="J29" s="39"/>
      <c r="K29" s="39"/>
      <c r="L29" s="39"/>
      <c r="M29" s="39"/>
      <c r="N29" s="40"/>
      <c r="O29" s="41"/>
      <c r="P29" s="39"/>
      <c r="Q29" s="67"/>
      <c r="R29" s="67"/>
      <c r="S29" s="67"/>
      <c r="T29" s="68"/>
      <c r="U29" s="69"/>
      <c r="V29" s="67"/>
      <c r="W29" s="67"/>
      <c r="X29" s="39"/>
      <c r="Y29" s="39"/>
      <c r="Z29" s="40"/>
    </row>
    <row r="30" spans="1:26" ht="30" customHeight="1" x14ac:dyDescent="0.25">
      <c r="A30" s="90"/>
      <c r="B30" s="36" t="s">
        <v>48</v>
      </c>
      <c r="C30" s="41"/>
      <c r="D30" s="39"/>
      <c r="E30" s="39"/>
      <c r="F30" s="39"/>
      <c r="G30" s="39"/>
      <c r="H30" s="40"/>
      <c r="I30" s="41"/>
      <c r="J30" s="70"/>
      <c r="K30" s="70"/>
      <c r="L30" s="70"/>
      <c r="M30" s="70"/>
      <c r="N30" s="71"/>
      <c r="O30" s="72"/>
      <c r="P30" s="70"/>
      <c r="Q30" s="70"/>
      <c r="R30" s="70"/>
      <c r="S30" s="70"/>
      <c r="T30" s="71"/>
      <c r="U30" s="72"/>
      <c r="V30" s="70"/>
      <c r="W30" s="70"/>
      <c r="X30" s="39"/>
      <c r="Y30" s="39"/>
      <c r="Z30" s="40"/>
    </row>
    <row r="31" spans="1:26" ht="30" customHeight="1" thickBot="1" x14ac:dyDescent="0.3">
      <c r="A31" s="73" t="s">
        <v>49</v>
      </c>
      <c r="B31" s="36" t="s">
        <v>50</v>
      </c>
      <c r="C31" s="74"/>
      <c r="D31" s="75"/>
      <c r="E31" s="75"/>
      <c r="F31" s="75"/>
      <c r="G31" s="75"/>
      <c r="H31" s="76"/>
      <c r="I31" s="74"/>
      <c r="J31" s="75"/>
      <c r="K31" s="77"/>
      <c r="L31" s="77"/>
      <c r="M31" s="77"/>
      <c r="N31" s="78"/>
      <c r="O31" s="79"/>
      <c r="P31" s="77"/>
      <c r="Q31" s="77"/>
      <c r="R31" s="77"/>
      <c r="S31" s="77"/>
      <c r="T31" s="78"/>
      <c r="U31" s="79"/>
      <c r="V31" s="77"/>
      <c r="W31" s="77"/>
      <c r="X31" s="77"/>
      <c r="Y31" s="75"/>
      <c r="Z31" s="76"/>
    </row>
    <row r="33" spans="2:26" x14ac:dyDescent="0.25">
      <c r="D33" s="80" t="s">
        <v>51</v>
      </c>
    </row>
    <row r="34" spans="2:26" x14ac:dyDescent="0.25">
      <c r="B34" s="81"/>
    </row>
    <row r="35" spans="2:26" ht="15" customHeight="1" x14ac:dyDescent="0.25">
      <c r="D35" s="82"/>
      <c r="E35" s="104" t="s">
        <v>19</v>
      </c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spans="2:26" ht="15" customHeight="1" x14ac:dyDescent="0.25">
      <c r="D36" s="83"/>
      <c r="E36" s="104" t="s">
        <v>24</v>
      </c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</row>
    <row r="37" spans="2:26" ht="15" customHeight="1" x14ac:dyDescent="0.25">
      <c r="D37" s="84"/>
      <c r="E37" s="104" t="s">
        <v>28</v>
      </c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</row>
    <row r="38" spans="2:26" ht="15" customHeight="1" x14ac:dyDescent="0.25">
      <c r="D38" s="85"/>
      <c r="E38" s="104" t="s">
        <v>34</v>
      </c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</row>
    <row r="39" spans="2:26" ht="15" customHeight="1" x14ac:dyDescent="0.25">
      <c r="D39" s="86"/>
      <c r="E39" s="104" t="s">
        <v>52</v>
      </c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</row>
    <row r="40" spans="2:26" ht="15" customHeight="1" x14ac:dyDescent="0.25">
      <c r="D40" s="87"/>
      <c r="E40" s="104" t="s">
        <v>44</v>
      </c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</row>
    <row r="41" spans="2:26" ht="15" customHeight="1" x14ac:dyDescent="0.25">
      <c r="D41" s="88"/>
      <c r="E41" s="104" t="s">
        <v>49</v>
      </c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</row>
    <row r="43" spans="2:26" ht="15" customHeight="1" x14ac:dyDescent="0.25">
      <c r="E43" s="104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</row>
    <row r="44" spans="2:26" ht="15" customHeight="1" x14ac:dyDescent="0.25">
      <c r="E44" s="104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</row>
    <row r="46" spans="2:26" ht="15" customHeight="1" x14ac:dyDescent="0.25">
      <c r="E46" s="105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</row>
    <row r="47" spans="2:26" x14ac:dyDescent="0.25">
      <c r="B47" s="106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9" spans="2:26" x14ac:dyDescent="0.25">
      <c r="B49" s="103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topLeftCell="B1" zoomScaleNormal="100" workbookViewId="0">
      <selection activeCell="M18" sqref="M18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07" t="s">
        <v>53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</row>
    <row r="2" spans="1:18" ht="15" customHeight="1" x14ac:dyDescent="0.25">
      <c r="A2" s="111" t="s">
        <v>54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</row>
    <row r="3" spans="1:18" ht="15" customHeight="1" x14ac:dyDescent="0.25">
      <c r="A3" s="112" t="s">
        <v>55</v>
      </c>
      <c r="B3" s="108"/>
      <c r="C3" s="108"/>
    </row>
    <row r="4" spans="1:18" ht="15" customHeight="1" x14ac:dyDescent="0.25">
      <c r="A4" s="110" t="s">
        <v>56</v>
      </c>
      <c r="B4" s="108"/>
      <c r="C4" s="26">
        <v>46235</v>
      </c>
      <c r="D4" s="31" t="s">
        <v>57</v>
      </c>
    </row>
    <row r="5" spans="1:18" ht="15" customHeight="1" x14ac:dyDescent="0.25">
      <c r="A5" s="110" t="s">
        <v>58</v>
      </c>
      <c r="B5" s="108"/>
      <c r="C5" s="2">
        <v>5</v>
      </c>
      <c r="D5" s="1" t="s">
        <v>59</v>
      </c>
    </row>
    <row r="6" spans="1:18" ht="15" customHeight="1" x14ac:dyDescent="0.25">
      <c r="A6" s="109" t="s">
        <v>60</v>
      </c>
      <c r="B6" s="108"/>
      <c r="C6" s="3">
        <f>15/MAX(C5,1)</f>
        <v>3</v>
      </c>
    </row>
    <row r="7" spans="1:18" ht="15" customHeight="1" x14ac:dyDescent="0.25">
      <c r="A7" s="113" t="s">
        <v>61</v>
      </c>
      <c r="B7" s="108"/>
      <c r="C7" s="108"/>
    </row>
    <row r="8" spans="1:18" ht="15" customHeight="1" x14ac:dyDescent="0.25">
      <c r="A8" s="110" t="s">
        <v>62</v>
      </c>
      <c r="B8" s="108"/>
      <c r="C8" s="2">
        <v>30</v>
      </c>
      <c r="D8" s="1" t="s">
        <v>63</v>
      </c>
    </row>
    <row r="9" spans="1:18" ht="15" customHeight="1" x14ac:dyDescent="0.25">
      <c r="A9" s="110" t="s">
        <v>64</v>
      </c>
      <c r="B9" s="108"/>
      <c r="C9" s="2">
        <v>5</v>
      </c>
    </row>
    <row r="10" spans="1:18" ht="15" customHeight="1" x14ac:dyDescent="0.25">
      <c r="A10" s="110" t="s">
        <v>65</v>
      </c>
      <c r="B10" s="108"/>
      <c r="C10" s="2">
        <v>15</v>
      </c>
      <c r="D10" s="1" t="s">
        <v>66</v>
      </c>
    </row>
    <row r="11" spans="1:18" ht="15" customHeight="1" x14ac:dyDescent="0.25">
      <c r="A11" s="110" t="s">
        <v>67</v>
      </c>
      <c r="B11" s="108"/>
      <c r="C11" s="2">
        <v>5</v>
      </c>
    </row>
    <row r="12" spans="1:18" ht="15" customHeight="1" x14ac:dyDescent="0.25">
      <c r="A12" s="110" t="s">
        <v>68</v>
      </c>
      <c r="B12" s="108"/>
      <c r="C12" s="2">
        <v>7</v>
      </c>
      <c r="D12" s="1" t="s">
        <v>69</v>
      </c>
    </row>
    <row r="13" spans="1:18" ht="15" customHeight="1" x14ac:dyDescent="0.25">
      <c r="A13" s="110" t="s">
        <v>70</v>
      </c>
      <c r="B13" s="108"/>
      <c r="C13" s="4">
        <f>C8+C9+C10+C11</f>
        <v>55</v>
      </c>
    </row>
    <row r="14" spans="1:18" ht="15" customHeight="1" x14ac:dyDescent="0.25">
      <c r="A14" s="110" t="s">
        <v>71</v>
      </c>
      <c r="B14" s="108"/>
      <c r="C14" s="28">
        <f ca="1">TODAY()</f>
        <v>46211</v>
      </c>
    </row>
    <row r="15" spans="1:18" ht="15" customHeight="1" x14ac:dyDescent="0.25">
      <c r="M15" s="114" t="s">
        <v>72</v>
      </c>
      <c r="N15" s="108"/>
      <c r="O15" s="108"/>
      <c r="P15" s="108"/>
      <c r="Q15" s="108"/>
      <c r="R15" s="108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30">
        <f t="shared" ref="E18:E49" si="0">$C$4+ROUND((A18-1)*15/MAX($C$5,1),0)</f>
        <v>46235</v>
      </c>
      <c r="F18" s="30">
        <f t="shared" ref="F18:F49" si="1">E18-$C$11</f>
        <v>46230</v>
      </c>
      <c r="G18" s="30">
        <f t="shared" ref="G18:G49" si="2">F18-$C$10</f>
        <v>46215</v>
      </c>
      <c r="H18" s="30">
        <f t="shared" ref="H18:H49" si="3">G18-$C$9</f>
        <v>46210</v>
      </c>
      <c r="I18" s="30">
        <f t="shared" ref="I18:I49" si="4">H18-$C$8</f>
        <v>46180</v>
      </c>
      <c r="J18" s="30">
        <f t="shared" ref="J18:J49" si="5">E18+$C$12</f>
        <v>46242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>P</v>
      </c>
      <c r="N18" s="7" t="str">
        <f t="shared" ref="N18:X18" si="8">IF(AND($E18&gt;=N$17,$E18&lt;EDATE(N$17,1)),"C",IF(AND(EDATE(N$17,1)&gt;$I18,N$17&lt;$E18),"P",""))</f>
        <v>C</v>
      </c>
      <c r="O18" s="7" t="str">
        <f t="shared" si="8"/>
        <v/>
      </c>
      <c r="P18" s="7" t="str">
        <f t="shared" si="8"/>
        <v/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30">
        <f t="shared" si="0"/>
        <v>46238</v>
      </c>
      <c r="F19" s="30">
        <f t="shared" si="1"/>
        <v>46233</v>
      </c>
      <c r="G19" s="30">
        <f t="shared" si="2"/>
        <v>46218</v>
      </c>
      <c r="H19" s="30">
        <f t="shared" si="3"/>
        <v>46213</v>
      </c>
      <c r="I19" s="30">
        <f t="shared" si="4"/>
        <v>46183</v>
      </c>
      <c r="J19" s="30">
        <f t="shared" si="5"/>
        <v>46245</v>
      </c>
      <c r="K19" s="7" t="str">
        <f t="shared" ca="1" si="6"/>
        <v>⚠ Amont à lancer</v>
      </c>
      <c r="M19" s="7" t="str">
        <f t="shared" si="7"/>
        <v>P</v>
      </c>
      <c r="N19" s="7" t="str">
        <f t="shared" si="7"/>
        <v>C</v>
      </c>
      <c r="O19" s="7" t="str">
        <f t="shared" si="7"/>
        <v/>
      </c>
      <c r="P19" s="7" t="str">
        <f t="shared" si="7"/>
        <v/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30">
        <f t="shared" si="0"/>
        <v>46241</v>
      </c>
      <c r="F20" s="30">
        <f t="shared" si="1"/>
        <v>46236</v>
      </c>
      <c r="G20" s="30">
        <f t="shared" si="2"/>
        <v>46221</v>
      </c>
      <c r="H20" s="30">
        <f t="shared" si="3"/>
        <v>46216</v>
      </c>
      <c r="I20" s="30">
        <f t="shared" si="4"/>
        <v>46186</v>
      </c>
      <c r="J20" s="30">
        <f t="shared" si="5"/>
        <v>46248</v>
      </c>
      <c r="K20" s="7" t="str">
        <f t="shared" ca="1" si="6"/>
        <v>⚠ Amont à lancer</v>
      </c>
      <c r="M20" s="7" t="str">
        <f t="shared" si="7"/>
        <v>P</v>
      </c>
      <c r="N20" s="7" t="str">
        <f t="shared" si="7"/>
        <v>C</v>
      </c>
      <c r="O20" s="7" t="str">
        <f t="shared" si="7"/>
        <v/>
      </c>
      <c r="P20" s="7" t="str">
        <f t="shared" si="7"/>
        <v/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30">
        <f t="shared" si="0"/>
        <v>46244</v>
      </c>
      <c r="F21" s="30">
        <f t="shared" si="1"/>
        <v>46239</v>
      </c>
      <c r="G21" s="30">
        <f t="shared" si="2"/>
        <v>46224</v>
      </c>
      <c r="H21" s="30">
        <f t="shared" si="3"/>
        <v>46219</v>
      </c>
      <c r="I21" s="30">
        <f t="shared" si="4"/>
        <v>46189</v>
      </c>
      <c r="J21" s="30">
        <f t="shared" si="5"/>
        <v>46251</v>
      </c>
      <c r="K21" s="7" t="str">
        <f t="shared" ca="1" si="6"/>
        <v>⚠ Amont à lancer</v>
      </c>
      <c r="M21" s="7" t="str">
        <f t="shared" si="7"/>
        <v>P</v>
      </c>
      <c r="N21" s="7" t="str">
        <f t="shared" si="7"/>
        <v>C</v>
      </c>
      <c r="O21" s="7" t="str">
        <f t="shared" si="7"/>
        <v/>
      </c>
      <c r="P21" s="7" t="str">
        <f t="shared" si="7"/>
        <v/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30">
        <f t="shared" si="0"/>
        <v>46247</v>
      </c>
      <c r="F22" s="30">
        <f t="shared" si="1"/>
        <v>46242</v>
      </c>
      <c r="G22" s="30">
        <f t="shared" si="2"/>
        <v>46227</v>
      </c>
      <c r="H22" s="30">
        <f t="shared" si="3"/>
        <v>46222</v>
      </c>
      <c r="I22" s="30">
        <f t="shared" si="4"/>
        <v>46192</v>
      </c>
      <c r="J22" s="30">
        <f t="shared" si="5"/>
        <v>46254</v>
      </c>
      <c r="K22" s="7" t="str">
        <f t="shared" ca="1" si="6"/>
        <v>⚠ Amont à lancer</v>
      </c>
      <c r="M22" s="7" t="str">
        <f t="shared" si="7"/>
        <v>P</v>
      </c>
      <c r="N22" s="7" t="str">
        <f t="shared" si="7"/>
        <v>C</v>
      </c>
      <c r="O22" s="7" t="str">
        <f t="shared" si="7"/>
        <v/>
      </c>
      <c r="P22" s="7" t="str">
        <f t="shared" si="7"/>
        <v/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30">
        <f t="shared" si="0"/>
        <v>46250</v>
      </c>
      <c r="F23" s="30">
        <f t="shared" si="1"/>
        <v>46245</v>
      </c>
      <c r="G23" s="30">
        <f t="shared" si="2"/>
        <v>46230</v>
      </c>
      <c r="H23" s="30">
        <f t="shared" si="3"/>
        <v>46225</v>
      </c>
      <c r="I23" s="30">
        <f t="shared" si="4"/>
        <v>46195</v>
      </c>
      <c r="J23" s="30">
        <f t="shared" si="5"/>
        <v>46257</v>
      </c>
      <c r="K23" s="7" t="str">
        <f t="shared" ca="1" si="6"/>
        <v>⚠ Amont à lancer</v>
      </c>
      <c r="M23" s="7" t="str">
        <f t="shared" si="7"/>
        <v>P</v>
      </c>
      <c r="N23" s="7" t="str">
        <f t="shared" si="7"/>
        <v>C</v>
      </c>
      <c r="O23" s="7" t="str">
        <f t="shared" si="7"/>
        <v/>
      </c>
      <c r="P23" s="7" t="str">
        <f t="shared" si="7"/>
        <v/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30">
        <f t="shared" si="0"/>
        <v>46253</v>
      </c>
      <c r="F24" s="30">
        <f t="shared" si="1"/>
        <v>46248</v>
      </c>
      <c r="G24" s="30">
        <f t="shared" si="2"/>
        <v>46233</v>
      </c>
      <c r="H24" s="30">
        <f t="shared" si="3"/>
        <v>46228</v>
      </c>
      <c r="I24" s="30">
        <f t="shared" si="4"/>
        <v>46198</v>
      </c>
      <c r="J24" s="30">
        <f t="shared" si="5"/>
        <v>46260</v>
      </c>
      <c r="K24" s="7" t="str">
        <f t="shared" ca="1" si="6"/>
        <v>⚠ Amont à lancer</v>
      </c>
      <c r="M24" s="7" t="str">
        <f t="shared" si="7"/>
        <v>P</v>
      </c>
      <c r="N24" s="7" t="str">
        <f t="shared" si="7"/>
        <v>C</v>
      </c>
      <c r="O24" s="7" t="str">
        <f t="shared" si="7"/>
        <v/>
      </c>
      <c r="P24" s="7" t="str">
        <f t="shared" si="7"/>
        <v/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30">
        <f t="shared" si="0"/>
        <v>46256</v>
      </c>
      <c r="F25" s="30">
        <f t="shared" si="1"/>
        <v>46251</v>
      </c>
      <c r="G25" s="30">
        <f t="shared" si="2"/>
        <v>46236</v>
      </c>
      <c r="H25" s="30">
        <f t="shared" si="3"/>
        <v>46231</v>
      </c>
      <c r="I25" s="30">
        <f t="shared" si="4"/>
        <v>46201</v>
      </c>
      <c r="J25" s="30">
        <f t="shared" si="5"/>
        <v>46263</v>
      </c>
      <c r="K25" s="7" t="str">
        <f t="shared" ca="1" si="6"/>
        <v>⚠ Amont à lancer</v>
      </c>
      <c r="M25" s="7" t="str">
        <f t="shared" si="7"/>
        <v>P</v>
      </c>
      <c r="N25" s="7" t="str">
        <f t="shared" si="7"/>
        <v>C</v>
      </c>
      <c r="O25" s="7" t="str">
        <f t="shared" si="7"/>
        <v/>
      </c>
      <c r="P25" s="7" t="str">
        <f t="shared" si="7"/>
        <v/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30">
        <f t="shared" si="0"/>
        <v>46259</v>
      </c>
      <c r="F26" s="30">
        <f t="shared" si="1"/>
        <v>46254</v>
      </c>
      <c r="G26" s="30">
        <f t="shared" si="2"/>
        <v>46239</v>
      </c>
      <c r="H26" s="30">
        <f t="shared" si="3"/>
        <v>46234</v>
      </c>
      <c r="I26" s="30">
        <f t="shared" si="4"/>
        <v>46204</v>
      </c>
      <c r="J26" s="30">
        <f t="shared" si="5"/>
        <v>46266</v>
      </c>
      <c r="K26" s="7" t="str">
        <f t="shared" ca="1" si="6"/>
        <v>⚠ Amont à lancer</v>
      </c>
      <c r="M26" s="7" t="str">
        <f t="shared" si="7"/>
        <v>P</v>
      </c>
      <c r="N26" s="7" t="str">
        <f t="shared" si="7"/>
        <v>C</v>
      </c>
      <c r="O26" s="7" t="str">
        <f t="shared" si="7"/>
        <v/>
      </c>
      <c r="P26" s="7" t="str">
        <f t="shared" si="7"/>
        <v/>
      </c>
      <c r="Q26" s="7" t="str">
        <f t="shared" si="7"/>
        <v/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30">
        <f t="shared" si="0"/>
        <v>46262</v>
      </c>
      <c r="F27" s="30">
        <f t="shared" si="1"/>
        <v>46257</v>
      </c>
      <c r="G27" s="30">
        <f t="shared" si="2"/>
        <v>46242</v>
      </c>
      <c r="H27" s="30">
        <f t="shared" si="3"/>
        <v>46237</v>
      </c>
      <c r="I27" s="30">
        <f t="shared" si="4"/>
        <v>46207</v>
      </c>
      <c r="J27" s="30">
        <f t="shared" si="5"/>
        <v>46269</v>
      </c>
      <c r="K27" s="7" t="str">
        <f t="shared" ca="1" si="6"/>
        <v>⚠ Amont à lancer</v>
      </c>
      <c r="M27" s="7" t="str">
        <f t="shared" si="7"/>
        <v>P</v>
      </c>
      <c r="N27" s="7" t="str">
        <f t="shared" si="7"/>
        <v>C</v>
      </c>
      <c r="O27" s="7" t="str">
        <f t="shared" si="7"/>
        <v/>
      </c>
      <c r="P27" s="7" t="str">
        <f t="shared" si="7"/>
        <v/>
      </c>
      <c r="Q27" s="7" t="str">
        <f t="shared" si="7"/>
        <v/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30">
        <f t="shared" si="0"/>
        <v>46265</v>
      </c>
      <c r="F28" s="30">
        <f t="shared" si="1"/>
        <v>46260</v>
      </c>
      <c r="G28" s="30">
        <f t="shared" si="2"/>
        <v>46245</v>
      </c>
      <c r="H28" s="30">
        <f t="shared" si="3"/>
        <v>46240</v>
      </c>
      <c r="I28" s="30">
        <f t="shared" si="4"/>
        <v>46210</v>
      </c>
      <c r="J28" s="30">
        <f t="shared" si="5"/>
        <v>46272</v>
      </c>
      <c r="K28" s="7" t="str">
        <f t="shared" ca="1" si="6"/>
        <v>⚠ Amont à lancer</v>
      </c>
      <c r="M28" s="7" t="str">
        <f t="shared" si="7"/>
        <v>P</v>
      </c>
      <c r="N28" s="7" t="str">
        <f t="shared" si="7"/>
        <v>C</v>
      </c>
      <c r="O28" s="7" t="str">
        <f t="shared" si="7"/>
        <v/>
      </c>
      <c r="P28" s="7" t="str">
        <f t="shared" si="7"/>
        <v/>
      </c>
      <c r="Q28" s="7" t="str">
        <f t="shared" si="7"/>
        <v/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30">
        <f t="shared" si="0"/>
        <v>46268</v>
      </c>
      <c r="F29" s="30">
        <f t="shared" si="1"/>
        <v>46263</v>
      </c>
      <c r="G29" s="30">
        <f t="shared" si="2"/>
        <v>46248</v>
      </c>
      <c r="H29" s="30">
        <f t="shared" si="3"/>
        <v>46243</v>
      </c>
      <c r="I29" s="30">
        <f t="shared" si="4"/>
        <v>46213</v>
      </c>
      <c r="J29" s="30">
        <f t="shared" si="5"/>
        <v>46275</v>
      </c>
      <c r="K29" s="7" t="str">
        <f t="shared" ca="1" si="6"/>
        <v>Bientôt</v>
      </c>
      <c r="M29" s="7" t="str">
        <f t="shared" si="7"/>
        <v>P</v>
      </c>
      <c r="N29" s="7" t="str">
        <f t="shared" si="7"/>
        <v>P</v>
      </c>
      <c r="O29" s="7" t="str">
        <f t="shared" si="7"/>
        <v>C</v>
      </c>
      <c r="P29" s="7" t="str">
        <f t="shared" si="7"/>
        <v/>
      </c>
      <c r="Q29" s="7" t="str">
        <f t="shared" si="7"/>
        <v/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30">
        <f t="shared" si="0"/>
        <v>46271</v>
      </c>
      <c r="F30" s="30">
        <f t="shared" si="1"/>
        <v>46266</v>
      </c>
      <c r="G30" s="30">
        <f t="shared" si="2"/>
        <v>46251</v>
      </c>
      <c r="H30" s="30">
        <f t="shared" si="3"/>
        <v>46246</v>
      </c>
      <c r="I30" s="30">
        <f t="shared" si="4"/>
        <v>46216</v>
      </c>
      <c r="J30" s="30">
        <f t="shared" si="5"/>
        <v>46278</v>
      </c>
      <c r="K30" s="7" t="str">
        <f t="shared" ca="1" si="6"/>
        <v>Bientôt</v>
      </c>
      <c r="M30" s="7" t="str">
        <f t="shared" si="7"/>
        <v>P</v>
      </c>
      <c r="N30" s="7" t="str">
        <f t="shared" si="7"/>
        <v>P</v>
      </c>
      <c r="O30" s="7" t="str">
        <f t="shared" si="7"/>
        <v>C</v>
      </c>
      <c r="P30" s="7" t="str">
        <f t="shared" si="7"/>
        <v/>
      </c>
      <c r="Q30" s="7" t="str">
        <f t="shared" si="7"/>
        <v/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30">
        <f t="shared" si="0"/>
        <v>46274</v>
      </c>
      <c r="F31" s="30">
        <f t="shared" si="1"/>
        <v>46269</v>
      </c>
      <c r="G31" s="30">
        <f t="shared" si="2"/>
        <v>46254</v>
      </c>
      <c r="H31" s="30">
        <f t="shared" si="3"/>
        <v>46249</v>
      </c>
      <c r="I31" s="30">
        <f t="shared" si="4"/>
        <v>46219</v>
      </c>
      <c r="J31" s="30">
        <f t="shared" si="5"/>
        <v>46281</v>
      </c>
      <c r="K31" s="7" t="str">
        <f t="shared" ca="1" si="6"/>
        <v>Bientôt</v>
      </c>
      <c r="M31" s="7" t="str">
        <f t="shared" si="7"/>
        <v>P</v>
      </c>
      <c r="N31" s="7" t="str">
        <f t="shared" si="7"/>
        <v>P</v>
      </c>
      <c r="O31" s="7" t="str">
        <f t="shared" si="7"/>
        <v>C</v>
      </c>
      <c r="P31" s="7" t="str">
        <f t="shared" si="7"/>
        <v/>
      </c>
      <c r="Q31" s="7" t="str">
        <f t="shared" si="7"/>
        <v/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30">
        <f t="shared" si="0"/>
        <v>46277</v>
      </c>
      <c r="F32" s="30">
        <f t="shared" si="1"/>
        <v>46272</v>
      </c>
      <c r="G32" s="30">
        <f t="shared" si="2"/>
        <v>46257</v>
      </c>
      <c r="H32" s="30">
        <f t="shared" si="3"/>
        <v>46252</v>
      </c>
      <c r="I32" s="30">
        <f t="shared" si="4"/>
        <v>46222</v>
      </c>
      <c r="J32" s="30">
        <f t="shared" si="5"/>
        <v>46284</v>
      </c>
      <c r="K32" s="7" t="str">
        <f t="shared" ca="1" si="6"/>
        <v>Bientôt</v>
      </c>
      <c r="M32" s="7" t="str">
        <f t="shared" si="7"/>
        <v>P</v>
      </c>
      <c r="N32" s="7" t="str">
        <f t="shared" si="7"/>
        <v>P</v>
      </c>
      <c r="O32" s="7" t="str">
        <f t="shared" si="7"/>
        <v>C</v>
      </c>
      <c r="P32" s="7" t="str">
        <f t="shared" si="7"/>
        <v/>
      </c>
      <c r="Q32" s="7" t="str">
        <f t="shared" si="7"/>
        <v/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30">
        <f t="shared" si="0"/>
        <v>46280</v>
      </c>
      <c r="F33" s="30">
        <f t="shared" si="1"/>
        <v>46275</v>
      </c>
      <c r="G33" s="30">
        <f t="shared" si="2"/>
        <v>46260</v>
      </c>
      <c r="H33" s="30">
        <f t="shared" si="3"/>
        <v>46255</v>
      </c>
      <c r="I33" s="30">
        <f t="shared" si="4"/>
        <v>46225</v>
      </c>
      <c r="J33" s="30">
        <f t="shared" si="5"/>
        <v>46287</v>
      </c>
      <c r="K33" s="7" t="str">
        <f t="shared" ca="1" si="6"/>
        <v>Bientôt</v>
      </c>
      <c r="M33" s="7" t="str">
        <f t="shared" si="7"/>
        <v>P</v>
      </c>
      <c r="N33" s="7" t="str">
        <f t="shared" si="7"/>
        <v>P</v>
      </c>
      <c r="O33" s="7" t="str">
        <f t="shared" si="7"/>
        <v>C</v>
      </c>
      <c r="P33" s="7" t="str">
        <f t="shared" si="7"/>
        <v/>
      </c>
      <c r="Q33" s="7" t="str">
        <f t="shared" si="7"/>
        <v/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30">
        <f t="shared" si="0"/>
        <v>46283</v>
      </c>
      <c r="F34" s="30">
        <f t="shared" si="1"/>
        <v>46278</v>
      </c>
      <c r="G34" s="30">
        <f t="shared" si="2"/>
        <v>46263</v>
      </c>
      <c r="H34" s="30">
        <f t="shared" si="3"/>
        <v>46258</v>
      </c>
      <c r="I34" s="30">
        <f t="shared" si="4"/>
        <v>46228</v>
      </c>
      <c r="J34" s="30">
        <f t="shared" si="5"/>
        <v>46290</v>
      </c>
      <c r="K34" s="7" t="str">
        <f t="shared" ca="1" si="6"/>
        <v>Bientôt</v>
      </c>
      <c r="M34" s="7" t="str">
        <f t="shared" ref="M34:X55" si="9">IF(AND($E34&gt;=M$17,$E34&lt;EDATE(M$17,1)),"C",IF(AND(EDATE(M$17,1)&gt;$I34,M$17&lt;$E34),"P",""))</f>
        <v>P</v>
      </c>
      <c r="N34" s="7" t="str">
        <f t="shared" si="9"/>
        <v>P</v>
      </c>
      <c r="O34" s="7" t="str">
        <f t="shared" si="9"/>
        <v>C</v>
      </c>
      <c r="P34" s="7" t="str">
        <f t="shared" si="9"/>
        <v/>
      </c>
      <c r="Q34" s="7" t="str">
        <f t="shared" si="9"/>
        <v/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30">
        <f t="shared" si="0"/>
        <v>46286</v>
      </c>
      <c r="F35" s="30">
        <f t="shared" si="1"/>
        <v>46281</v>
      </c>
      <c r="G35" s="30">
        <f t="shared" si="2"/>
        <v>46266</v>
      </c>
      <c r="H35" s="30">
        <f t="shared" si="3"/>
        <v>46261</v>
      </c>
      <c r="I35" s="30">
        <f t="shared" si="4"/>
        <v>46231</v>
      </c>
      <c r="J35" s="30">
        <f t="shared" si="5"/>
        <v>46293</v>
      </c>
      <c r="K35" s="7" t="str">
        <f t="shared" ca="1" si="6"/>
        <v>Bientôt</v>
      </c>
      <c r="M35" s="7" t="str">
        <f t="shared" si="9"/>
        <v>P</v>
      </c>
      <c r="N35" s="7" t="str">
        <f t="shared" si="9"/>
        <v>P</v>
      </c>
      <c r="O35" s="7" t="str">
        <f t="shared" si="9"/>
        <v>C</v>
      </c>
      <c r="P35" s="7" t="str">
        <f t="shared" si="9"/>
        <v/>
      </c>
      <c r="Q35" s="7" t="str">
        <f t="shared" si="9"/>
        <v/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30">
        <f t="shared" si="0"/>
        <v>46289</v>
      </c>
      <c r="F36" s="30">
        <f t="shared" si="1"/>
        <v>46284</v>
      </c>
      <c r="G36" s="30">
        <f t="shared" si="2"/>
        <v>46269</v>
      </c>
      <c r="H36" s="30">
        <f t="shared" si="3"/>
        <v>46264</v>
      </c>
      <c r="I36" s="30">
        <f t="shared" si="4"/>
        <v>46234</v>
      </c>
      <c r="J36" s="30">
        <f t="shared" si="5"/>
        <v>46296</v>
      </c>
      <c r="K36" s="7" t="str">
        <f t="shared" ca="1" si="6"/>
        <v>Bientôt</v>
      </c>
      <c r="M36" s="7" t="str">
        <f t="shared" si="9"/>
        <v>P</v>
      </c>
      <c r="N36" s="7" t="str">
        <f t="shared" si="9"/>
        <v>P</v>
      </c>
      <c r="O36" s="7" t="str">
        <f t="shared" si="9"/>
        <v>C</v>
      </c>
      <c r="P36" s="7" t="str">
        <f t="shared" si="9"/>
        <v/>
      </c>
      <c r="Q36" s="7" t="str">
        <f t="shared" si="9"/>
        <v/>
      </c>
      <c r="R36" s="7" t="str">
        <f t="shared" si="9"/>
        <v/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30">
        <f t="shared" si="0"/>
        <v>46292</v>
      </c>
      <c r="F37" s="30">
        <f t="shared" si="1"/>
        <v>46287</v>
      </c>
      <c r="G37" s="30">
        <f t="shared" si="2"/>
        <v>46272</v>
      </c>
      <c r="H37" s="30">
        <f t="shared" si="3"/>
        <v>46267</v>
      </c>
      <c r="I37" s="30">
        <f t="shared" si="4"/>
        <v>46237</v>
      </c>
      <c r="J37" s="30">
        <f t="shared" si="5"/>
        <v>46299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>P</v>
      </c>
      <c r="O37" s="7" t="str">
        <f t="shared" si="9"/>
        <v>C</v>
      </c>
      <c r="P37" s="7" t="str">
        <f t="shared" si="9"/>
        <v/>
      </c>
      <c r="Q37" s="7" t="str">
        <f t="shared" si="9"/>
        <v/>
      </c>
      <c r="R37" s="7" t="str">
        <f t="shared" si="9"/>
        <v/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30">
        <f t="shared" si="0"/>
        <v>46295</v>
      </c>
      <c r="F38" s="30">
        <f t="shared" si="1"/>
        <v>46290</v>
      </c>
      <c r="G38" s="30">
        <f t="shared" si="2"/>
        <v>46275</v>
      </c>
      <c r="H38" s="30">
        <f t="shared" si="3"/>
        <v>46270</v>
      </c>
      <c r="I38" s="30">
        <f t="shared" si="4"/>
        <v>46240</v>
      </c>
      <c r="J38" s="30">
        <f t="shared" si="5"/>
        <v>46302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>P</v>
      </c>
      <c r="O38" s="7" t="str">
        <f t="shared" si="9"/>
        <v>C</v>
      </c>
      <c r="P38" s="7" t="str">
        <f t="shared" si="9"/>
        <v/>
      </c>
      <c r="Q38" s="7" t="str">
        <f t="shared" si="9"/>
        <v/>
      </c>
      <c r="R38" s="7" t="str">
        <f t="shared" si="9"/>
        <v/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30">
        <f t="shared" si="0"/>
        <v>46298</v>
      </c>
      <c r="F39" s="30">
        <f t="shared" si="1"/>
        <v>46293</v>
      </c>
      <c r="G39" s="30">
        <f t="shared" si="2"/>
        <v>46278</v>
      </c>
      <c r="H39" s="30">
        <f t="shared" si="3"/>
        <v>46273</v>
      </c>
      <c r="I39" s="30">
        <f t="shared" si="4"/>
        <v>46243</v>
      </c>
      <c r="J39" s="30">
        <f t="shared" si="5"/>
        <v>46305</v>
      </c>
      <c r="K39" s="7" t="str">
        <f t="shared" ca="1" si="6"/>
        <v>OK</v>
      </c>
      <c r="M39" s="7" t="str">
        <f t="shared" si="9"/>
        <v/>
      </c>
      <c r="N39" s="7" t="str">
        <f t="shared" si="9"/>
        <v>P</v>
      </c>
      <c r="O39" s="7" t="str">
        <f t="shared" si="9"/>
        <v>P</v>
      </c>
      <c r="P39" s="7" t="str">
        <f t="shared" si="9"/>
        <v>C</v>
      </c>
      <c r="Q39" s="7" t="str">
        <f t="shared" si="9"/>
        <v/>
      </c>
      <c r="R39" s="7" t="str">
        <f t="shared" si="9"/>
        <v/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30">
        <f t="shared" ref="E40" si="10">$C$4+ROUND((A40-1)*15/MAX($C$5,1),0)</f>
        <v>46301</v>
      </c>
      <c r="F40" s="30">
        <f t="shared" si="1"/>
        <v>46296</v>
      </c>
      <c r="G40" s="30">
        <f t="shared" si="2"/>
        <v>46281</v>
      </c>
      <c r="H40" s="30">
        <f t="shared" si="3"/>
        <v>46276</v>
      </c>
      <c r="I40" s="30">
        <f t="shared" si="4"/>
        <v>46246</v>
      </c>
      <c r="J40" s="30">
        <f t="shared" ref="J40" si="11">E40+$C$12</f>
        <v>46308</v>
      </c>
      <c r="K40" s="7" t="str">
        <f t="shared" ref="K40" ca="1" si="12">IF(I40&lt;$C$14,"⚠ Amont à lancer",IF(I40&lt;$C$14+30,"Bientôt","OK"))</f>
        <v>OK</v>
      </c>
      <c r="M40" s="7" t="str">
        <f t="shared" si="9"/>
        <v/>
      </c>
      <c r="N40" s="7" t="str">
        <f t="shared" si="9"/>
        <v>P</v>
      </c>
      <c r="O40" s="7" t="str">
        <f t="shared" si="9"/>
        <v>P</v>
      </c>
      <c r="P40" s="7" t="str">
        <f t="shared" si="9"/>
        <v>C</v>
      </c>
      <c r="Q40" s="7" t="str">
        <f t="shared" si="9"/>
        <v/>
      </c>
      <c r="R40" s="7" t="str">
        <f t="shared" si="9"/>
        <v/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30">
        <f t="shared" si="0"/>
        <v>46304</v>
      </c>
      <c r="F41" s="30">
        <f t="shared" si="1"/>
        <v>46299</v>
      </c>
      <c r="G41" s="30">
        <f t="shared" si="2"/>
        <v>46284</v>
      </c>
      <c r="H41" s="30">
        <f t="shared" si="3"/>
        <v>46279</v>
      </c>
      <c r="I41" s="30">
        <f t="shared" si="4"/>
        <v>46249</v>
      </c>
      <c r="J41" s="30">
        <f t="shared" si="5"/>
        <v>46311</v>
      </c>
      <c r="K41" s="7" t="str">
        <f t="shared" ca="1" si="6"/>
        <v>OK</v>
      </c>
      <c r="M41" s="7" t="str">
        <f t="shared" si="9"/>
        <v/>
      </c>
      <c r="N41" s="7" t="str">
        <f t="shared" si="9"/>
        <v>P</v>
      </c>
      <c r="O41" s="7" t="str">
        <f t="shared" si="9"/>
        <v>P</v>
      </c>
      <c r="P41" s="7" t="str">
        <f t="shared" si="9"/>
        <v>C</v>
      </c>
      <c r="Q41" s="7" t="str">
        <f t="shared" si="9"/>
        <v/>
      </c>
      <c r="R41" s="7" t="str">
        <f t="shared" si="9"/>
        <v/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30">
        <f t="shared" si="0"/>
        <v>46307</v>
      </c>
      <c r="F42" s="30">
        <f t="shared" si="1"/>
        <v>46302</v>
      </c>
      <c r="G42" s="30">
        <f t="shared" si="2"/>
        <v>46287</v>
      </c>
      <c r="H42" s="30">
        <f t="shared" si="3"/>
        <v>46282</v>
      </c>
      <c r="I42" s="30">
        <f t="shared" si="4"/>
        <v>46252</v>
      </c>
      <c r="J42" s="30">
        <f t="shared" si="5"/>
        <v>46314</v>
      </c>
      <c r="K42" s="7" t="str">
        <f t="shared" ca="1" si="6"/>
        <v>OK</v>
      </c>
      <c r="M42" s="7" t="str">
        <f t="shared" si="9"/>
        <v/>
      </c>
      <c r="N42" s="7" t="str">
        <f t="shared" si="9"/>
        <v>P</v>
      </c>
      <c r="O42" s="7" t="str">
        <f t="shared" si="9"/>
        <v>P</v>
      </c>
      <c r="P42" s="7" t="str">
        <f t="shared" si="9"/>
        <v>C</v>
      </c>
      <c r="Q42" s="7" t="str">
        <f t="shared" si="9"/>
        <v/>
      </c>
      <c r="R42" s="7" t="str">
        <f t="shared" si="9"/>
        <v/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30">
        <f t="shared" si="0"/>
        <v>46310</v>
      </c>
      <c r="F43" s="30">
        <f t="shared" si="1"/>
        <v>46305</v>
      </c>
      <c r="G43" s="30">
        <f t="shared" si="2"/>
        <v>46290</v>
      </c>
      <c r="H43" s="30">
        <f t="shared" si="3"/>
        <v>46285</v>
      </c>
      <c r="I43" s="30">
        <f t="shared" si="4"/>
        <v>46255</v>
      </c>
      <c r="J43" s="30">
        <f t="shared" si="5"/>
        <v>46317</v>
      </c>
      <c r="K43" s="7" t="str">
        <f t="shared" ca="1" si="6"/>
        <v>OK</v>
      </c>
      <c r="M43" s="7" t="str">
        <f t="shared" si="9"/>
        <v/>
      </c>
      <c r="N43" s="7" t="str">
        <f t="shared" si="9"/>
        <v>P</v>
      </c>
      <c r="O43" s="7" t="str">
        <f t="shared" si="9"/>
        <v>P</v>
      </c>
      <c r="P43" s="7" t="str">
        <f t="shared" si="9"/>
        <v>C</v>
      </c>
      <c r="Q43" s="7" t="str">
        <f t="shared" si="9"/>
        <v/>
      </c>
      <c r="R43" s="7" t="str">
        <f t="shared" si="9"/>
        <v/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30">
        <f t="shared" si="0"/>
        <v>46313</v>
      </c>
      <c r="F44" s="30">
        <f t="shared" si="1"/>
        <v>46308</v>
      </c>
      <c r="G44" s="30">
        <f t="shared" si="2"/>
        <v>46293</v>
      </c>
      <c r="H44" s="30">
        <f t="shared" si="3"/>
        <v>46288</v>
      </c>
      <c r="I44" s="30">
        <f t="shared" si="4"/>
        <v>46258</v>
      </c>
      <c r="J44" s="30">
        <f t="shared" si="5"/>
        <v>46320</v>
      </c>
      <c r="K44" s="7" t="str">
        <f t="shared" ca="1" si="6"/>
        <v>OK</v>
      </c>
      <c r="M44" s="7" t="str">
        <f t="shared" si="9"/>
        <v/>
      </c>
      <c r="N44" s="7" t="str">
        <f t="shared" si="9"/>
        <v>P</v>
      </c>
      <c r="O44" s="7" t="str">
        <f t="shared" si="9"/>
        <v>P</v>
      </c>
      <c r="P44" s="7" t="str">
        <f t="shared" si="9"/>
        <v>C</v>
      </c>
      <c r="Q44" s="7" t="str">
        <f t="shared" si="9"/>
        <v/>
      </c>
      <c r="R44" s="7" t="str">
        <f t="shared" si="9"/>
        <v/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30">
        <f t="shared" si="0"/>
        <v>46316</v>
      </c>
      <c r="F45" s="30">
        <f t="shared" si="1"/>
        <v>46311</v>
      </c>
      <c r="G45" s="30">
        <f t="shared" si="2"/>
        <v>46296</v>
      </c>
      <c r="H45" s="30">
        <f t="shared" si="3"/>
        <v>46291</v>
      </c>
      <c r="I45" s="30">
        <f t="shared" si="4"/>
        <v>46261</v>
      </c>
      <c r="J45" s="30">
        <f t="shared" si="5"/>
        <v>46323</v>
      </c>
      <c r="K45" s="7" t="str">
        <f t="shared" ca="1" si="6"/>
        <v>OK</v>
      </c>
      <c r="M45" s="7" t="str">
        <f t="shared" si="9"/>
        <v/>
      </c>
      <c r="N45" s="7" t="str">
        <f t="shared" si="9"/>
        <v>P</v>
      </c>
      <c r="O45" s="7" t="str">
        <f t="shared" si="9"/>
        <v>P</v>
      </c>
      <c r="P45" s="7" t="str">
        <f t="shared" si="9"/>
        <v>C</v>
      </c>
      <c r="Q45" s="7" t="str">
        <f t="shared" si="9"/>
        <v/>
      </c>
      <c r="R45" s="7" t="str">
        <f t="shared" si="9"/>
        <v/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30">
        <f t="shared" si="0"/>
        <v>46319</v>
      </c>
      <c r="F46" s="30">
        <f t="shared" si="1"/>
        <v>46314</v>
      </c>
      <c r="G46" s="30">
        <f t="shared" si="2"/>
        <v>46299</v>
      </c>
      <c r="H46" s="30">
        <f t="shared" si="3"/>
        <v>46294</v>
      </c>
      <c r="I46" s="30">
        <f t="shared" si="4"/>
        <v>46264</v>
      </c>
      <c r="J46" s="30">
        <f t="shared" si="5"/>
        <v>46326</v>
      </c>
      <c r="K46" s="7" t="str">
        <f t="shared" ca="1" si="6"/>
        <v>OK</v>
      </c>
      <c r="M46" s="7" t="str">
        <f t="shared" si="9"/>
        <v/>
      </c>
      <c r="N46" s="7" t="str">
        <f t="shared" si="9"/>
        <v>P</v>
      </c>
      <c r="O46" s="7" t="str">
        <f t="shared" si="9"/>
        <v>P</v>
      </c>
      <c r="P46" s="7" t="str">
        <f t="shared" si="9"/>
        <v>C</v>
      </c>
      <c r="Q46" s="7" t="str">
        <f t="shared" si="9"/>
        <v/>
      </c>
      <c r="R46" s="7" t="str">
        <f t="shared" si="9"/>
        <v/>
      </c>
      <c r="S46" s="7" t="str">
        <f t="shared" si="9"/>
        <v/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30">
        <f t="shared" si="0"/>
        <v>46322</v>
      </c>
      <c r="F47" s="30">
        <f t="shared" si="1"/>
        <v>46317</v>
      </c>
      <c r="G47" s="30">
        <f t="shared" si="2"/>
        <v>46302</v>
      </c>
      <c r="H47" s="30">
        <f t="shared" si="3"/>
        <v>46297</v>
      </c>
      <c r="I47" s="30">
        <f t="shared" si="4"/>
        <v>46267</v>
      </c>
      <c r="J47" s="30">
        <f t="shared" si="5"/>
        <v>46329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>P</v>
      </c>
      <c r="P47" s="7" t="str">
        <f t="shared" si="9"/>
        <v>C</v>
      </c>
      <c r="Q47" s="7" t="str">
        <f t="shared" si="9"/>
        <v/>
      </c>
      <c r="R47" s="7" t="str">
        <f t="shared" si="9"/>
        <v/>
      </c>
      <c r="S47" s="7" t="str">
        <f t="shared" si="9"/>
        <v/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30">
        <f t="shared" si="0"/>
        <v>46325</v>
      </c>
      <c r="F48" s="30">
        <f t="shared" si="1"/>
        <v>46320</v>
      </c>
      <c r="G48" s="30">
        <f t="shared" si="2"/>
        <v>46305</v>
      </c>
      <c r="H48" s="30">
        <f t="shared" si="3"/>
        <v>46300</v>
      </c>
      <c r="I48" s="30">
        <f t="shared" si="4"/>
        <v>46270</v>
      </c>
      <c r="J48" s="30">
        <f t="shared" si="5"/>
        <v>46332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>P</v>
      </c>
      <c r="P48" s="7" t="str">
        <f t="shared" si="9"/>
        <v>C</v>
      </c>
      <c r="Q48" s="7" t="str">
        <f t="shared" si="9"/>
        <v/>
      </c>
      <c r="R48" s="7" t="str">
        <f t="shared" si="9"/>
        <v/>
      </c>
      <c r="S48" s="7" t="str">
        <f t="shared" si="9"/>
        <v/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30">
        <f t="shared" si="0"/>
        <v>46328</v>
      </c>
      <c r="F49" s="30">
        <f t="shared" si="1"/>
        <v>46323</v>
      </c>
      <c r="G49" s="30">
        <f t="shared" si="2"/>
        <v>46308</v>
      </c>
      <c r="H49" s="30">
        <f t="shared" si="3"/>
        <v>46303</v>
      </c>
      <c r="I49" s="30">
        <f t="shared" si="4"/>
        <v>46273</v>
      </c>
      <c r="J49" s="30">
        <f t="shared" si="5"/>
        <v>46335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>P</v>
      </c>
      <c r="P49" s="7" t="str">
        <f t="shared" si="9"/>
        <v>P</v>
      </c>
      <c r="Q49" s="7" t="str">
        <f t="shared" si="9"/>
        <v>C</v>
      </c>
      <c r="R49" s="7" t="str">
        <f t="shared" si="9"/>
        <v/>
      </c>
      <c r="S49" s="7" t="str">
        <f t="shared" si="9"/>
        <v/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30">
        <f t="shared" ref="E50:E81" si="13">$C$4+ROUND((A50-1)*15/MAX($C$5,1),0)</f>
        <v>46331</v>
      </c>
      <c r="F50" s="30">
        <f t="shared" ref="F50:F81" si="14">E50-$C$11</f>
        <v>46326</v>
      </c>
      <c r="G50" s="30">
        <f t="shared" ref="G50:G81" si="15">F50-$C$10</f>
        <v>46311</v>
      </c>
      <c r="H50" s="30">
        <f t="shared" ref="H50:H81" si="16">G50-$C$9</f>
        <v>46306</v>
      </c>
      <c r="I50" s="30">
        <f t="shared" ref="I50:I81" si="17">H50-$C$8</f>
        <v>46276</v>
      </c>
      <c r="J50" s="30">
        <f t="shared" ref="J50:J81" si="18">E50+$C$12</f>
        <v>46338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>P</v>
      </c>
      <c r="P50" s="7" t="str">
        <f t="shared" si="9"/>
        <v>P</v>
      </c>
      <c r="Q50" s="7" t="str">
        <f t="shared" si="9"/>
        <v>C</v>
      </c>
      <c r="R50" s="7" t="str">
        <f t="shared" si="9"/>
        <v/>
      </c>
      <c r="S50" s="7" t="str">
        <f t="shared" si="9"/>
        <v/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30">
        <f t="shared" si="13"/>
        <v>46334</v>
      </c>
      <c r="F51" s="30">
        <f t="shared" si="14"/>
        <v>46329</v>
      </c>
      <c r="G51" s="30">
        <f t="shared" si="15"/>
        <v>46314</v>
      </c>
      <c r="H51" s="30">
        <f t="shared" si="16"/>
        <v>46309</v>
      </c>
      <c r="I51" s="30">
        <f t="shared" si="17"/>
        <v>46279</v>
      </c>
      <c r="J51" s="30">
        <f t="shared" si="18"/>
        <v>46341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>P</v>
      </c>
      <c r="P51" s="7" t="str">
        <f t="shared" si="9"/>
        <v>P</v>
      </c>
      <c r="Q51" s="7" t="str">
        <f t="shared" si="9"/>
        <v>C</v>
      </c>
      <c r="R51" s="7" t="str">
        <f t="shared" si="9"/>
        <v/>
      </c>
      <c r="S51" s="7" t="str">
        <f t="shared" si="9"/>
        <v/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30">
        <f t="shared" si="13"/>
        <v>46337</v>
      </c>
      <c r="F52" s="30">
        <f t="shared" si="14"/>
        <v>46332</v>
      </c>
      <c r="G52" s="30">
        <f t="shared" si="15"/>
        <v>46317</v>
      </c>
      <c r="H52" s="30">
        <f t="shared" si="16"/>
        <v>46312</v>
      </c>
      <c r="I52" s="30">
        <f t="shared" si="17"/>
        <v>46282</v>
      </c>
      <c r="J52" s="30">
        <f t="shared" si="18"/>
        <v>46344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>P</v>
      </c>
      <c r="P52" s="7" t="str">
        <f t="shared" si="9"/>
        <v>P</v>
      </c>
      <c r="Q52" s="7" t="str">
        <f t="shared" si="9"/>
        <v>C</v>
      </c>
      <c r="R52" s="7" t="str">
        <f t="shared" si="9"/>
        <v/>
      </c>
      <c r="S52" s="7" t="str">
        <f t="shared" si="9"/>
        <v/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30">
        <f t="shared" si="13"/>
        <v>46340</v>
      </c>
      <c r="F53" s="30">
        <f t="shared" si="14"/>
        <v>46335</v>
      </c>
      <c r="G53" s="30">
        <f t="shared" si="15"/>
        <v>46320</v>
      </c>
      <c r="H53" s="30">
        <f t="shared" si="16"/>
        <v>46315</v>
      </c>
      <c r="I53" s="30">
        <f t="shared" si="17"/>
        <v>46285</v>
      </c>
      <c r="J53" s="30">
        <f t="shared" si="18"/>
        <v>46347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>P</v>
      </c>
      <c r="P53" s="7" t="str">
        <f t="shared" si="9"/>
        <v>P</v>
      </c>
      <c r="Q53" s="7" t="str">
        <f t="shared" si="9"/>
        <v>C</v>
      </c>
      <c r="R53" s="7" t="str">
        <f t="shared" si="9"/>
        <v/>
      </c>
      <c r="S53" s="7" t="str">
        <f t="shared" si="9"/>
        <v/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30">
        <f t="shared" si="13"/>
        <v>46343</v>
      </c>
      <c r="F54" s="30">
        <f t="shared" si="14"/>
        <v>46338</v>
      </c>
      <c r="G54" s="30">
        <f t="shared" si="15"/>
        <v>46323</v>
      </c>
      <c r="H54" s="30">
        <f t="shared" si="16"/>
        <v>46318</v>
      </c>
      <c r="I54" s="30">
        <f t="shared" si="17"/>
        <v>46288</v>
      </c>
      <c r="J54" s="30">
        <f t="shared" si="18"/>
        <v>46350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>P</v>
      </c>
      <c r="P54" s="7" t="str">
        <f t="shared" si="9"/>
        <v>P</v>
      </c>
      <c r="Q54" s="7" t="str">
        <f t="shared" si="9"/>
        <v>C</v>
      </c>
      <c r="R54" s="7" t="str">
        <f t="shared" si="9"/>
        <v/>
      </c>
      <c r="S54" s="7" t="str">
        <f t="shared" si="9"/>
        <v/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30">
        <f t="shared" si="13"/>
        <v>46346</v>
      </c>
      <c r="F55" s="30">
        <f t="shared" si="14"/>
        <v>46341</v>
      </c>
      <c r="G55" s="30">
        <f t="shared" si="15"/>
        <v>46326</v>
      </c>
      <c r="H55" s="30">
        <f t="shared" si="16"/>
        <v>46321</v>
      </c>
      <c r="I55" s="30">
        <f t="shared" si="17"/>
        <v>46291</v>
      </c>
      <c r="J55" s="30">
        <f t="shared" si="18"/>
        <v>46353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>P</v>
      </c>
      <c r="P55" s="7" t="str">
        <f t="shared" ref="P55:X83" si="20">IF(AND($E55&gt;=P$17,$E55&lt;EDATE(P$17,1)),"C",IF(AND(EDATE(P$17,1)&gt;$I55,P$17&lt;$E55),"P",""))</f>
        <v>P</v>
      </c>
      <c r="Q55" s="7" t="str">
        <f t="shared" si="20"/>
        <v>C</v>
      </c>
      <c r="R55" s="7" t="str">
        <f t="shared" si="20"/>
        <v/>
      </c>
      <c r="S55" s="7" t="str">
        <f t="shared" si="20"/>
        <v/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30">
        <f t="shared" si="13"/>
        <v>46349</v>
      </c>
      <c r="F56" s="30">
        <f t="shared" si="14"/>
        <v>46344</v>
      </c>
      <c r="G56" s="30">
        <f t="shared" si="15"/>
        <v>46329</v>
      </c>
      <c r="H56" s="30">
        <f t="shared" si="16"/>
        <v>46324</v>
      </c>
      <c r="I56" s="30">
        <f t="shared" si="17"/>
        <v>46294</v>
      </c>
      <c r="J56" s="30">
        <f t="shared" si="18"/>
        <v>46356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>P</v>
      </c>
      <c r="P56" s="7" t="str">
        <f t="shared" si="20"/>
        <v>P</v>
      </c>
      <c r="Q56" s="7" t="str">
        <f t="shared" si="20"/>
        <v>C</v>
      </c>
      <c r="R56" s="7" t="str">
        <f t="shared" si="20"/>
        <v/>
      </c>
      <c r="S56" s="7" t="str">
        <f t="shared" si="20"/>
        <v/>
      </c>
      <c r="T56" s="7" t="str">
        <f t="shared" si="20"/>
        <v/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30">
        <f t="shared" si="13"/>
        <v>46352</v>
      </c>
      <c r="F57" s="30">
        <f t="shared" si="14"/>
        <v>46347</v>
      </c>
      <c r="G57" s="30">
        <f t="shared" si="15"/>
        <v>46332</v>
      </c>
      <c r="H57" s="30">
        <f t="shared" si="16"/>
        <v>46327</v>
      </c>
      <c r="I57" s="30">
        <f t="shared" si="17"/>
        <v>46297</v>
      </c>
      <c r="J57" s="30">
        <f t="shared" si="18"/>
        <v>46359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>P</v>
      </c>
      <c r="Q57" s="7" t="str">
        <f t="shared" si="20"/>
        <v>C</v>
      </c>
      <c r="R57" s="7" t="str">
        <f t="shared" si="20"/>
        <v/>
      </c>
      <c r="S57" s="7" t="str">
        <f t="shared" si="20"/>
        <v/>
      </c>
      <c r="T57" s="7" t="str">
        <f t="shared" si="20"/>
        <v/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30">
        <f t="shared" si="13"/>
        <v>46355</v>
      </c>
      <c r="F58" s="30">
        <f t="shared" si="14"/>
        <v>46350</v>
      </c>
      <c r="G58" s="30">
        <f t="shared" si="15"/>
        <v>46335</v>
      </c>
      <c r="H58" s="30">
        <f t="shared" si="16"/>
        <v>46330</v>
      </c>
      <c r="I58" s="30">
        <f t="shared" si="17"/>
        <v>46300</v>
      </c>
      <c r="J58" s="30">
        <f t="shared" si="18"/>
        <v>46362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>P</v>
      </c>
      <c r="Q58" s="7" t="str">
        <f t="shared" si="20"/>
        <v>C</v>
      </c>
      <c r="R58" s="7" t="str">
        <f t="shared" si="20"/>
        <v/>
      </c>
      <c r="S58" s="7" t="str">
        <f t="shared" si="20"/>
        <v/>
      </c>
      <c r="T58" s="7" t="str">
        <f t="shared" si="20"/>
        <v/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30">
        <f t="shared" si="13"/>
        <v>46358</v>
      </c>
      <c r="F59" s="30">
        <f t="shared" si="14"/>
        <v>46353</v>
      </c>
      <c r="G59" s="30">
        <f t="shared" si="15"/>
        <v>46338</v>
      </c>
      <c r="H59" s="30">
        <f t="shared" si="16"/>
        <v>46333</v>
      </c>
      <c r="I59" s="30">
        <f t="shared" si="17"/>
        <v>46303</v>
      </c>
      <c r="J59" s="30">
        <f t="shared" si="18"/>
        <v>46365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>P</v>
      </c>
      <c r="Q59" s="7" t="str">
        <f t="shared" si="20"/>
        <v>P</v>
      </c>
      <c r="R59" s="7" t="str">
        <f t="shared" si="20"/>
        <v>C</v>
      </c>
      <c r="S59" s="7" t="str">
        <f t="shared" si="20"/>
        <v/>
      </c>
      <c r="T59" s="7" t="str">
        <f t="shared" si="20"/>
        <v/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30">
        <f t="shared" si="13"/>
        <v>46361</v>
      </c>
      <c r="F60" s="30">
        <f t="shared" si="14"/>
        <v>46356</v>
      </c>
      <c r="G60" s="30">
        <f t="shared" si="15"/>
        <v>46341</v>
      </c>
      <c r="H60" s="30">
        <f t="shared" si="16"/>
        <v>46336</v>
      </c>
      <c r="I60" s="30">
        <f t="shared" si="17"/>
        <v>46306</v>
      </c>
      <c r="J60" s="30">
        <f t="shared" si="18"/>
        <v>46368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>P</v>
      </c>
      <c r="Q60" s="7" t="str">
        <f t="shared" si="20"/>
        <v>P</v>
      </c>
      <c r="R60" s="7" t="str">
        <f t="shared" si="20"/>
        <v>C</v>
      </c>
      <c r="S60" s="7" t="str">
        <f t="shared" si="20"/>
        <v/>
      </c>
      <c r="T60" s="7" t="str">
        <f t="shared" si="20"/>
        <v/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30">
        <f t="shared" si="13"/>
        <v>46364</v>
      </c>
      <c r="F61" s="30">
        <f t="shared" si="14"/>
        <v>46359</v>
      </c>
      <c r="G61" s="30">
        <f t="shared" si="15"/>
        <v>46344</v>
      </c>
      <c r="H61" s="30">
        <f t="shared" si="16"/>
        <v>46339</v>
      </c>
      <c r="I61" s="30">
        <f t="shared" si="17"/>
        <v>46309</v>
      </c>
      <c r="J61" s="30">
        <f t="shared" si="18"/>
        <v>46371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>P</v>
      </c>
      <c r="Q61" s="7" t="str">
        <f t="shared" si="20"/>
        <v>P</v>
      </c>
      <c r="R61" s="7" t="str">
        <f t="shared" si="20"/>
        <v>C</v>
      </c>
      <c r="S61" s="7" t="str">
        <f t="shared" si="20"/>
        <v/>
      </c>
      <c r="T61" s="7" t="str">
        <f t="shared" si="20"/>
        <v/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30">
        <f t="shared" si="13"/>
        <v>46367</v>
      </c>
      <c r="F62" s="30">
        <f t="shared" si="14"/>
        <v>46362</v>
      </c>
      <c r="G62" s="30">
        <f t="shared" si="15"/>
        <v>46347</v>
      </c>
      <c r="H62" s="30">
        <f t="shared" si="16"/>
        <v>46342</v>
      </c>
      <c r="I62" s="30">
        <f t="shared" si="17"/>
        <v>46312</v>
      </c>
      <c r="J62" s="30">
        <f t="shared" si="18"/>
        <v>46374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>P</v>
      </c>
      <c r="Q62" s="7" t="str">
        <f t="shared" si="20"/>
        <v>P</v>
      </c>
      <c r="R62" s="7" t="str">
        <f t="shared" si="20"/>
        <v>C</v>
      </c>
      <c r="S62" s="7" t="str">
        <f t="shared" si="20"/>
        <v/>
      </c>
      <c r="T62" s="7" t="str">
        <f t="shared" si="20"/>
        <v/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30">
        <f t="shared" si="13"/>
        <v>46370</v>
      </c>
      <c r="F63" s="30">
        <f t="shared" si="14"/>
        <v>46365</v>
      </c>
      <c r="G63" s="30">
        <f t="shared" si="15"/>
        <v>46350</v>
      </c>
      <c r="H63" s="30">
        <f t="shared" si="16"/>
        <v>46345</v>
      </c>
      <c r="I63" s="30">
        <f t="shared" si="17"/>
        <v>46315</v>
      </c>
      <c r="J63" s="30">
        <f t="shared" si="18"/>
        <v>46377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>P</v>
      </c>
      <c r="Q63" s="7" t="str">
        <f t="shared" si="20"/>
        <v>P</v>
      </c>
      <c r="R63" s="7" t="str">
        <f t="shared" si="20"/>
        <v>C</v>
      </c>
      <c r="S63" s="7" t="str">
        <f t="shared" si="20"/>
        <v/>
      </c>
      <c r="T63" s="7" t="str">
        <f t="shared" si="20"/>
        <v/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30">
        <f t="shared" si="13"/>
        <v>46373</v>
      </c>
      <c r="F64" s="30">
        <f t="shared" si="14"/>
        <v>46368</v>
      </c>
      <c r="G64" s="30">
        <f t="shared" si="15"/>
        <v>46353</v>
      </c>
      <c r="H64" s="30">
        <f t="shared" si="16"/>
        <v>46348</v>
      </c>
      <c r="I64" s="30">
        <f t="shared" si="17"/>
        <v>46318</v>
      </c>
      <c r="J64" s="30">
        <f t="shared" si="18"/>
        <v>46380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>P</v>
      </c>
      <c r="Q64" s="7" t="str">
        <f t="shared" si="20"/>
        <v>P</v>
      </c>
      <c r="R64" s="7" t="str">
        <f t="shared" si="20"/>
        <v>C</v>
      </c>
      <c r="S64" s="7" t="str">
        <f t="shared" si="20"/>
        <v/>
      </c>
      <c r="T64" s="7" t="str">
        <f t="shared" si="20"/>
        <v/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30">
        <f t="shared" si="13"/>
        <v>46376</v>
      </c>
      <c r="F65" s="30">
        <f t="shared" si="14"/>
        <v>46371</v>
      </c>
      <c r="G65" s="30">
        <f t="shared" si="15"/>
        <v>46356</v>
      </c>
      <c r="H65" s="30">
        <f t="shared" si="16"/>
        <v>46351</v>
      </c>
      <c r="I65" s="30">
        <f t="shared" si="17"/>
        <v>46321</v>
      </c>
      <c r="J65" s="30">
        <f t="shared" si="18"/>
        <v>46383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>P</v>
      </c>
      <c r="Q65" s="7" t="str">
        <f t="shared" si="20"/>
        <v>P</v>
      </c>
      <c r="R65" s="7" t="str">
        <f t="shared" si="20"/>
        <v>C</v>
      </c>
      <c r="S65" s="7" t="str">
        <f t="shared" si="20"/>
        <v/>
      </c>
      <c r="T65" s="7" t="str">
        <f t="shared" si="20"/>
        <v/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30">
        <f t="shared" si="13"/>
        <v>46379</v>
      </c>
      <c r="F66" s="30">
        <f t="shared" si="14"/>
        <v>46374</v>
      </c>
      <c r="G66" s="30">
        <f t="shared" si="15"/>
        <v>46359</v>
      </c>
      <c r="H66" s="30">
        <f t="shared" si="16"/>
        <v>46354</v>
      </c>
      <c r="I66" s="30">
        <f t="shared" si="17"/>
        <v>46324</v>
      </c>
      <c r="J66" s="30">
        <f t="shared" si="18"/>
        <v>46386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>P</v>
      </c>
      <c r="Q66" s="7" t="str">
        <f t="shared" si="20"/>
        <v>P</v>
      </c>
      <c r="R66" s="7" t="str">
        <f t="shared" si="20"/>
        <v>C</v>
      </c>
      <c r="S66" s="7" t="str">
        <f t="shared" si="20"/>
        <v/>
      </c>
      <c r="T66" s="7" t="str">
        <f t="shared" si="20"/>
        <v/>
      </c>
      <c r="U66" s="7" t="str">
        <f t="shared" si="20"/>
        <v/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30">
        <f t="shared" si="13"/>
        <v>46382</v>
      </c>
      <c r="F67" s="30">
        <f t="shared" si="14"/>
        <v>46377</v>
      </c>
      <c r="G67" s="30">
        <f t="shared" si="15"/>
        <v>46362</v>
      </c>
      <c r="H67" s="30">
        <f t="shared" si="16"/>
        <v>46357</v>
      </c>
      <c r="I67" s="30">
        <f t="shared" si="17"/>
        <v>46327</v>
      </c>
      <c r="J67" s="30">
        <f t="shared" si="18"/>
        <v>46389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>P</v>
      </c>
      <c r="R67" s="7" t="str">
        <f t="shared" si="20"/>
        <v>C</v>
      </c>
      <c r="S67" s="7" t="str">
        <f t="shared" si="20"/>
        <v/>
      </c>
      <c r="T67" s="7" t="str">
        <f t="shared" si="20"/>
        <v/>
      </c>
      <c r="U67" s="7" t="str">
        <f t="shared" si="20"/>
        <v/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30">
        <f t="shared" si="13"/>
        <v>46385</v>
      </c>
      <c r="F68" s="30">
        <f t="shared" si="14"/>
        <v>46380</v>
      </c>
      <c r="G68" s="30">
        <f t="shared" si="15"/>
        <v>46365</v>
      </c>
      <c r="H68" s="30">
        <f t="shared" si="16"/>
        <v>46360</v>
      </c>
      <c r="I68" s="30">
        <f t="shared" si="17"/>
        <v>46330</v>
      </c>
      <c r="J68" s="30">
        <f t="shared" si="18"/>
        <v>46392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>P</v>
      </c>
      <c r="R68" s="7" t="str">
        <f t="shared" si="20"/>
        <v>C</v>
      </c>
      <c r="S68" s="7" t="str">
        <f t="shared" si="20"/>
        <v/>
      </c>
      <c r="T68" s="7" t="str">
        <f t="shared" si="20"/>
        <v/>
      </c>
      <c r="U68" s="7" t="str">
        <f t="shared" si="20"/>
        <v/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30">
        <f t="shared" si="13"/>
        <v>46388</v>
      </c>
      <c r="F69" s="30">
        <f t="shared" si="14"/>
        <v>46383</v>
      </c>
      <c r="G69" s="30">
        <f t="shared" si="15"/>
        <v>46368</v>
      </c>
      <c r="H69" s="30">
        <f t="shared" si="16"/>
        <v>46363</v>
      </c>
      <c r="I69" s="30">
        <f t="shared" si="17"/>
        <v>46333</v>
      </c>
      <c r="J69" s="30">
        <f t="shared" si="18"/>
        <v>46395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>P</v>
      </c>
      <c r="R69" s="7" t="str">
        <f t="shared" si="20"/>
        <v>P</v>
      </c>
      <c r="S69" s="7" t="str">
        <f t="shared" si="20"/>
        <v>C</v>
      </c>
      <c r="T69" s="7" t="str">
        <f t="shared" si="20"/>
        <v/>
      </c>
      <c r="U69" s="7" t="str">
        <f t="shared" si="20"/>
        <v/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30">
        <f t="shared" si="13"/>
        <v>46391</v>
      </c>
      <c r="F70" s="30">
        <f t="shared" si="14"/>
        <v>46386</v>
      </c>
      <c r="G70" s="30">
        <f t="shared" si="15"/>
        <v>46371</v>
      </c>
      <c r="H70" s="30">
        <f t="shared" si="16"/>
        <v>46366</v>
      </c>
      <c r="I70" s="30">
        <f t="shared" si="17"/>
        <v>46336</v>
      </c>
      <c r="J70" s="30">
        <f t="shared" si="18"/>
        <v>46398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>P</v>
      </c>
      <c r="R70" s="7" t="str">
        <f t="shared" si="20"/>
        <v>P</v>
      </c>
      <c r="S70" s="7" t="str">
        <f t="shared" si="20"/>
        <v>C</v>
      </c>
      <c r="T70" s="7" t="str">
        <f t="shared" si="20"/>
        <v/>
      </c>
      <c r="U70" s="7" t="str">
        <f t="shared" si="20"/>
        <v/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30">
        <f t="shared" si="13"/>
        <v>46394</v>
      </c>
      <c r="F71" s="30">
        <f t="shared" si="14"/>
        <v>46389</v>
      </c>
      <c r="G71" s="30">
        <f t="shared" si="15"/>
        <v>46374</v>
      </c>
      <c r="H71" s="30">
        <f t="shared" si="16"/>
        <v>46369</v>
      </c>
      <c r="I71" s="30">
        <f t="shared" si="17"/>
        <v>46339</v>
      </c>
      <c r="J71" s="30">
        <f t="shared" si="18"/>
        <v>46401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>P</v>
      </c>
      <c r="R71" s="7" t="str">
        <f t="shared" si="20"/>
        <v>P</v>
      </c>
      <c r="S71" s="7" t="str">
        <f t="shared" si="20"/>
        <v>C</v>
      </c>
      <c r="T71" s="7" t="str">
        <f t="shared" si="20"/>
        <v/>
      </c>
      <c r="U71" s="7" t="str">
        <f t="shared" si="20"/>
        <v/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30">
        <f t="shared" si="13"/>
        <v>46397</v>
      </c>
      <c r="F72" s="30">
        <f t="shared" si="14"/>
        <v>46392</v>
      </c>
      <c r="G72" s="30">
        <f t="shared" si="15"/>
        <v>46377</v>
      </c>
      <c r="H72" s="30">
        <f t="shared" si="16"/>
        <v>46372</v>
      </c>
      <c r="I72" s="30">
        <f t="shared" si="17"/>
        <v>46342</v>
      </c>
      <c r="J72" s="30">
        <f t="shared" si="18"/>
        <v>46404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>P</v>
      </c>
      <c r="R72" s="7" t="str">
        <f t="shared" si="20"/>
        <v>P</v>
      </c>
      <c r="S72" s="7" t="str">
        <f t="shared" si="20"/>
        <v>C</v>
      </c>
      <c r="T72" s="7" t="str">
        <f t="shared" si="20"/>
        <v/>
      </c>
      <c r="U72" s="7" t="str">
        <f t="shared" si="20"/>
        <v/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30">
        <f t="shared" si="13"/>
        <v>46400</v>
      </c>
      <c r="F73" s="30">
        <f t="shared" si="14"/>
        <v>46395</v>
      </c>
      <c r="G73" s="30">
        <f t="shared" si="15"/>
        <v>46380</v>
      </c>
      <c r="H73" s="30">
        <f t="shared" si="16"/>
        <v>46375</v>
      </c>
      <c r="I73" s="30">
        <f t="shared" si="17"/>
        <v>46345</v>
      </c>
      <c r="J73" s="30">
        <f t="shared" si="18"/>
        <v>46407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>P</v>
      </c>
      <c r="R73" s="7" t="str">
        <f t="shared" si="20"/>
        <v>P</v>
      </c>
      <c r="S73" s="7" t="str">
        <f t="shared" si="20"/>
        <v>C</v>
      </c>
      <c r="T73" s="7" t="str">
        <f t="shared" si="20"/>
        <v/>
      </c>
      <c r="U73" s="7" t="str">
        <f t="shared" si="20"/>
        <v/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30">
        <f t="shared" si="13"/>
        <v>46403</v>
      </c>
      <c r="F74" s="30">
        <f t="shared" si="14"/>
        <v>46398</v>
      </c>
      <c r="G74" s="30">
        <f t="shared" si="15"/>
        <v>46383</v>
      </c>
      <c r="H74" s="30">
        <f t="shared" si="16"/>
        <v>46378</v>
      </c>
      <c r="I74" s="30">
        <f t="shared" si="17"/>
        <v>46348</v>
      </c>
      <c r="J74" s="30">
        <f t="shared" si="18"/>
        <v>46410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>P</v>
      </c>
      <c r="R74" s="7" t="str">
        <f t="shared" si="20"/>
        <v>P</v>
      </c>
      <c r="S74" s="7" t="str">
        <f t="shared" si="20"/>
        <v>C</v>
      </c>
      <c r="T74" s="7" t="str">
        <f t="shared" si="20"/>
        <v/>
      </c>
      <c r="U74" s="7" t="str">
        <f t="shared" si="20"/>
        <v/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30">
        <f t="shared" si="13"/>
        <v>46406</v>
      </c>
      <c r="F75" s="30">
        <f t="shared" si="14"/>
        <v>46401</v>
      </c>
      <c r="G75" s="30">
        <f t="shared" si="15"/>
        <v>46386</v>
      </c>
      <c r="H75" s="30">
        <f t="shared" si="16"/>
        <v>46381</v>
      </c>
      <c r="I75" s="30">
        <f t="shared" si="17"/>
        <v>46351</v>
      </c>
      <c r="J75" s="30">
        <f t="shared" si="18"/>
        <v>46413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>P</v>
      </c>
      <c r="R75" s="7" t="str">
        <f t="shared" si="20"/>
        <v>P</v>
      </c>
      <c r="S75" s="7" t="str">
        <f t="shared" si="20"/>
        <v>C</v>
      </c>
      <c r="T75" s="7" t="str">
        <f t="shared" si="20"/>
        <v/>
      </c>
      <c r="U75" s="7" t="str">
        <f t="shared" si="20"/>
        <v/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30">
        <f t="shared" si="13"/>
        <v>46409</v>
      </c>
      <c r="F76" s="30">
        <f t="shared" si="14"/>
        <v>46404</v>
      </c>
      <c r="G76" s="30">
        <f t="shared" si="15"/>
        <v>46389</v>
      </c>
      <c r="H76" s="30">
        <f t="shared" si="16"/>
        <v>46384</v>
      </c>
      <c r="I76" s="30">
        <f t="shared" si="17"/>
        <v>46354</v>
      </c>
      <c r="J76" s="30">
        <f t="shared" si="18"/>
        <v>46416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>P</v>
      </c>
      <c r="R76" s="7" t="str">
        <f t="shared" si="20"/>
        <v>P</v>
      </c>
      <c r="S76" s="7" t="str">
        <f t="shared" si="20"/>
        <v>C</v>
      </c>
      <c r="T76" s="7" t="str">
        <f t="shared" si="20"/>
        <v/>
      </c>
      <c r="U76" s="7" t="str">
        <f t="shared" si="20"/>
        <v/>
      </c>
      <c r="V76" s="7" t="str">
        <f t="shared" si="20"/>
        <v/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30">
        <f t="shared" si="13"/>
        <v>46412</v>
      </c>
      <c r="F77" s="30">
        <f t="shared" si="14"/>
        <v>46407</v>
      </c>
      <c r="G77" s="30">
        <f t="shared" si="15"/>
        <v>46392</v>
      </c>
      <c r="H77" s="30">
        <f t="shared" si="16"/>
        <v>46387</v>
      </c>
      <c r="I77" s="30">
        <f t="shared" si="17"/>
        <v>46357</v>
      </c>
      <c r="J77" s="30">
        <f t="shared" si="18"/>
        <v>46419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>P</v>
      </c>
      <c r="S77" s="7" t="str">
        <f t="shared" si="20"/>
        <v>C</v>
      </c>
      <c r="T77" s="7" t="str">
        <f t="shared" si="20"/>
        <v/>
      </c>
      <c r="U77" s="7" t="str">
        <f t="shared" si="20"/>
        <v/>
      </c>
      <c r="V77" s="7" t="str">
        <f t="shared" si="20"/>
        <v/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30">
        <f t="shared" si="13"/>
        <v>46415</v>
      </c>
      <c r="F78" s="30">
        <f t="shared" si="14"/>
        <v>46410</v>
      </c>
      <c r="G78" s="30">
        <f t="shared" si="15"/>
        <v>46395</v>
      </c>
      <c r="H78" s="30">
        <f t="shared" si="16"/>
        <v>46390</v>
      </c>
      <c r="I78" s="30">
        <f t="shared" si="17"/>
        <v>46360</v>
      </c>
      <c r="J78" s="30">
        <f t="shared" si="18"/>
        <v>46422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>P</v>
      </c>
      <c r="S78" s="7" t="str">
        <f t="shared" si="20"/>
        <v>C</v>
      </c>
      <c r="T78" s="7" t="str">
        <f t="shared" si="20"/>
        <v/>
      </c>
      <c r="U78" s="7" t="str">
        <f t="shared" si="20"/>
        <v/>
      </c>
      <c r="V78" s="7" t="str">
        <f t="shared" si="20"/>
        <v/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30">
        <f t="shared" si="13"/>
        <v>46418</v>
      </c>
      <c r="F79" s="30">
        <f t="shared" si="14"/>
        <v>46413</v>
      </c>
      <c r="G79" s="30">
        <f t="shared" si="15"/>
        <v>46398</v>
      </c>
      <c r="H79" s="30">
        <f t="shared" si="16"/>
        <v>46393</v>
      </c>
      <c r="I79" s="30">
        <f t="shared" si="17"/>
        <v>46363</v>
      </c>
      <c r="J79" s="30">
        <f t="shared" si="18"/>
        <v>46425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>P</v>
      </c>
      <c r="S79" s="7" t="str">
        <f t="shared" si="20"/>
        <v>C</v>
      </c>
      <c r="T79" s="7" t="str">
        <f t="shared" si="20"/>
        <v/>
      </c>
      <c r="U79" s="7" t="str">
        <f t="shared" si="20"/>
        <v/>
      </c>
      <c r="V79" s="7" t="str">
        <f t="shared" si="20"/>
        <v/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30">
        <f t="shared" si="13"/>
        <v>46421</v>
      </c>
      <c r="F80" s="30">
        <f t="shared" si="14"/>
        <v>46416</v>
      </c>
      <c r="G80" s="30">
        <f t="shared" si="15"/>
        <v>46401</v>
      </c>
      <c r="H80" s="30">
        <f t="shared" si="16"/>
        <v>46396</v>
      </c>
      <c r="I80" s="30">
        <f t="shared" si="17"/>
        <v>46366</v>
      </c>
      <c r="J80" s="30">
        <f t="shared" si="18"/>
        <v>46428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>P</v>
      </c>
      <c r="S80" s="7" t="str">
        <f t="shared" si="20"/>
        <v>P</v>
      </c>
      <c r="T80" s="7" t="str">
        <f t="shared" si="20"/>
        <v>C</v>
      </c>
      <c r="U80" s="7" t="str">
        <f t="shared" si="20"/>
        <v/>
      </c>
      <c r="V80" s="7" t="str">
        <f t="shared" si="20"/>
        <v/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30">
        <f t="shared" si="13"/>
        <v>46424</v>
      </c>
      <c r="F81" s="30">
        <f t="shared" si="14"/>
        <v>46419</v>
      </c>
      <c r="G81" s="30">
        <f t="shared" si="15"/>
        <v>46404</v>
      </c>
      <c r="H81" s="30">
        <f t="shared" si="16"/>
        <v>46399</v>
      </c>
      <c r="I81" s="30">
        <f t="shared" si="17"/>
        <v>46369</v>
      </c>
      <c r="J81" s="30">
        <f t="shared" si="18"/>
        <v>46431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>P</v>
      </c>
      <c r="S81" s="7" t="str">
        <f t="shared" si="20"/>
        <v>P</v>
      </c>
      <c r="T81" s="7" t="str">
        <f t="shared" si="20"/>
        <v>C</v>
      </c>
      <c r="U81" s="7" t="str">
        <f t="shared" si="20"/>
        <v/>
      </c>
      <c r="V81" s="7" t="str">
        <f t="shared" si="20"/>
        <v/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30">
        <f t="shared" ref="E82:E113" si="22">$C$4+ROUND((A82-1)*15/MAX($C$5,1),0)</f>
        <v>46427</v>
      </c>
      <c r="F82" s="30">
        <f t="shared" ref="F82:F113" si="23">E82-$C$11</f>
        <v>46422</v>
      </c>
      <c r="G82" s="30">
        <f t="shared" ref="G82:G113" si="24">F82-$C$10</f>
        <v>46407</v>
      </c>
      <c r="H82" s="30">
        <f t="shared" ref="H82:H113" si="25">G82-$C$9</f>
        <v>46402</v>
      </c>
      <c r="I82" s="30">
        <f t="shared" ref="I82:I113" si="26">H82-$C$8</f>
        <v>46372</v>
      </c>
      <c r="J82" s="30">
        <f t="shared" ref="J82:J113" si="27">E82+$C$12</f>
        <v>46434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>P</v>
      </c>
      <c r="S82" s="7" t="str">
        <f t="shared" si="20"/>
        <v>P</v>
      </c>
      <c r="T82" s="7" t="str">
        <f t="shared" si="20"/>
        <v>C</v>
      </c>
      <c r="U82" s="7" t="str">
        <f t="shared" si="20"/>
        <v/>
      </c>
      <c r="V82" s="7" t="str">
        <f t="shared" si="20"/>
        <v/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30">
        <f t="shared" si="22"/>
        <v>46430</v>
      </c>
      <c r="F83" s="30">
        <f t="shared" si="23"/>
        <v>46425</v>
      </c>
      <c r="G83" s="30">
        <f t="shared" si="24"/>
        <v>46410</v>
      </c>
      <c r="H83" s="30">
        <f t="shared" si="25"/>
        <v>46405</v>
      </c>
      <c r="I83" s="30">
        <f t="shared" si="26"/>
        <v>46375</v>
      </c>
      <c r="J83" s="30">
        <f t="shared" si="27"/>
        <v>46437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>P</v>
      </c>
      <c r="S83" s="7" t="str">
        <f t="shared" ref="S83:X114" si="29">IF(AND($E83&gt;=S$17,$E83&lt;EDATE(S$17,1)),"C",IF(AND(EDATE(S$17,1)&gt;$I83,S$17&lt;$E83),"P",""))</f>
        <v>P</v>
      </c>
      <c r="T83" s="7" t="str">
        <f t="shared" si="29"/>
        <v>C</v>
      </c>
      <c r="U83" s="7" t="str">
        <f t="shared" si="29"/>
        <v/>
      </c>
      <c r="V83" s="7" t="str">
        <f t="shared" si="29"/>
        <v/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30">
        <f t="shared" si="22"/>
        <v>46433</v>
      </c>
      <c r="F84" s="30">
        <f t="shared" si="23"/>
        <v>46428</v>
      </c>
      <c r="G84" s="30">
        <f t="shared" si="24"/>
        <v>46413</v>
      </c>
      <c r="H84" s="30">
        <f t="shared" si="25"/>
        <v>46408</v>
      </c>
      <c r="I84" s="30">
        <f t="shared" si="26"/>
        <v>46378</v>
      </c>
      <c r="J84" s="30">
        <f t="shared" si="27"/>
        <v>46440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>P</v>
      </c>
      <c r="S84" s="7" t="str">
        <f t="shared" si="29"/>
        <v>P</v>
      </c>
      <c r="T84" s="7" t="str">
        <f t="shared" si="29"/>
        <v>C</v>
      </c>
      <c r="U84" s="7" t="str">
        <f t="shared" si="29"/>
        <v/>
      </c>
      <c r="V84" s="7" t="str">
        <f t="shared" si="29"/>
        <v/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30">
        <f t="shared" si="22"/>
        <v>46436</v>
      </c>
      <c r="F85" s="30">
        <f t="shared" si="23"/>
        <v>46431</v>
      </c>
      <c r="G85" s="30">
        <f t="shared" si="24"/>
        <v>46416</v>
      </c>
      <c r="H85" s="30">
        <f t="shared" si="25"/>
        <v>46411</v>
      </c>
      <c r="I85" s="30">
        <f t="shared" si="26"/>
        <v>46381</v>
      </c>
      <c r="J85" s="30">
        <f t="shared" si="27"/>
        <v>46443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>P</v>
      </c>
      <c r="S85" s="7" t="str">
        <f t="shared" si="29"/>
        <v>P</v>
      </c>
      <c r="T85" s="7" t="str">
        <f t="shared" si="29"/>
        <v>C</v>
      </c>
      <c r="U85" s="7" t="str">
        <f t="shared" si="29"/>
        <v/>
      </c>
      <c r="V85" s="7" t="str">
        <f t="shared" si="29"/>
        <v/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30">
        <f t="shared" si="22"/>
        <v>46439</v>
      </c>
      <c r="F86" s="30">
        <f t="shared" si="23"/>
        <v>46434</v>
      </c>
      <c r="G86" s="30">
        <f t="shared" si="24"/>
        <v>46419</v>
      </c>
      <c r="H86" s="30">
        <f t="shared" si="25"/>
        <v>46414</v>
      </c>
      <c r="I86" s="30">
        <f t="shared" si="26"/>
        <v>46384</v>
      </c>
      <c r="J86" s="30">
        <f t="shared" si="27"/>
        <v>46446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>P</v>
      </c>
      <c r="S86" s="7" t="str">
        <f t="shared" si="29"/>
        <v>P</v>
      </c>
      <c r="T86" s="7" t="str">
        <f t="shared" si="29"/>
        <v>C</v>
      </c>
      <c r="U86" s="7" t="str">
        <f t="shared" si="29"/>
        <v/>
      </c>
      <c r="V86" s="7" t="str">
        <f t="shared" si="29"/>
        <v/>
      </c>
      <c r="W86" s="7" t="str">
        <f t="shared" si="29"/>
        <v/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30">
        <f t="shared" si="22"/>
        <v>46442</v>
      </c>
      <c r="F87" s="30">
        <f t="shared" si="23"/>
        <v>46437</v>
      </c>
      <c r="G87" s="30">
        <f t="shared" si="24"/>
        <v>46422</v>
      </c>
      <c r="H87" s="30">
        <f t="shared" si="25"/>
        <v>46417</v>
      </c>
      <c r="I87" s="30">
        <f t="shared" si="26"/>
        <v>46387</v>
      </c>
      <c r="J87" s="30">
        <f t="shared" si="27"/>
        <v>46449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>P</v>
      </c>
      <c r="S87" s="7" t="str">
        <f t="shared" si="29"/>
        <v>P</v>
      </c>
      <c r="T87" s="7" t="str">
        <f t="shared" si="29"/>
        <v>C</v>
      </c>
      <c r="U87" s="7" t="str">
        <f t="shared" si="29"/>
        <v/>
      </c>
      <c r="V87" s="7" t="str">
        <f t="shared" si="29"/>
        <v/>
      </c>
      <c r="W87" s="7" t="str">
        <f t="shared" si="29"/>
        <v/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30">
        <f t="shared" si="22"/>
        <v>46445</v>
      </c>
      <c r="F88" s="30">
        <f t="shared" si="23"/>
        <v>46440</v>
      </c>
      <c r="G88" s="30">
        <f t="shared" si="24"/>
        <v>46425</v>
      </c>
      <c r="H88" s="30">
        <f t="shared" si="25"/>
        <v>46420</v>
      </c>
      <c r="I88" s="30">
        <f t="shared" si="26"/>
        <v>46390</v>
      </c>
      <c r="J88" s="30">
        <f t="shared" si="27"/>
        <v>46452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>P</v>
      </c>
      <c r="T88" s="7" t="str">
        <f t="shared" si="29"/>
        <v>C</v>
      </c>
      <c r="U88" s="7" t="str">
        <f t="shared" si="29"/>
        <v/>
      </c>
      <c r="V88" s="7" t="str">
        <f t="shared" si="29"/>
        <v/>
      </c>
      <c r="W88" s="7" t="str">
        <f t="shared" si="29"/>
        <v/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30">
        <f t="shared" si="22"/>
        <v>46448</v>
      </c>
      <c r="F89" s="30">
        <f t="shared" si="23"/>
        <v>46443</v>
      </c>
      <c r="G89" s="30">
        <f t="shared" si="24"/>
        <v>46428</v>
      </c>
      <c r="H89" s="30">
        <f t="shared" si="25"/>
        <v>46423</v>
      </c>
      <c r="I89" s="30">
        <f t="shared" si="26"/>
        <v>46393</v>
      </c>
      <c r="J89" s="30">
        <f t="shared" si="27"/>
        <v>46455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>P</v>
      </c>
      <c r="T89" s="7" t="str">
        <f t="shared" si="29"/>
        <v>P</v>
      </c>
      <c r="U89" s="7" t="str">
        <f t="shared" si="29"/>
        <v>C</v>
      </c>
      <c r="V89" s="7" t="str">
        <f t="shared" si="29"/>
        <v/>
      </c>
      <c r="W89" s="7" t="str">
        <f t="shared" si="29"/>
        <v/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30">
        <f t="shared" si="22"/>
        <v>46451</v>
      </c>
      <c r="F90" s="30">
        <f t="shared" si="23"/>
        <v>46446</v>
      </c>
      <c r="G90" s="30">
        <f t="shared" si="24"/>
        <v>46431</v>
      </c>
      <c r="H90" s="30">
        <f t="shared" si="25"/>
        <v>46426</v>
      </c>
      <c r="I90" s="30">
        <f t="shared" si="26"/>
        <v>46396</v>
      </c>
      <c r="J90" s="30">
        <f t="shared" si="27"/>
        <v>46458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>P</v>
      </c>
      <c r="T90" s="7" t="str">
        <f t="shared" si="29"/>
        <v>P</v>
      </c>
      <c r="U90" s="7" t="str">
        <f t="shared" si="29"/>
        <v>C</v>
      </c>
      <c r="V90" s="7" t="str">
        <f t="shared" si="29"/>
        <v/>
      </c>
      <c r="W90" s="7" t="str">
        <f t="shared" si="29"/>
        <v/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30">
        <f t="shared" si="22"/>
        <v>46454</v>
      </c>
      <c r="F91" s="30">
        <f t="shared" si="23"/>
        <v>46449</v>
      </c>
      <c r="G91" s="30">
        <f t="shared" si="24"/>
        <v>46434</v>
      </c>
      <c r="H91" s="30">
        <f t="shared" si="25"/>
        <v>46429</v>
      </c>
      <c r="I91" s="30">
        <f t="shared" si="26"/>
        <v>46399</v>
      </c>
      <c r="J91" s="30">
        <f t="shared" si="27"/>
        <v>46461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>P</v>
      </c>
      <c r="T91" s="7" t="str">
        <f t="shared" si="29"/>
        <v>P</v>
      </c>
      <c r="U91" s="7" t="str">
        <f t="shared" si="29"/>
        <v>C</v>
      </c>
      <c r="V91" s="7" t="str">
        <f t="shared" si="29"/>
        <v/>
      </c>
      <c r="W91" s="7" t="str">
        <f t="shared" si="29"/>
        <v/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30">
        <f t="shared" si="22"/>
        <v>46457</v>
      </c>
      <c r="F92" s="30">
        <f t="shared" si="23"/>
        <v>46452</v>
      </c>
      <c r="G92" s="30">
        <f t="shared" si="24"/>
        <v>46437</v>
      </c>
      <c r="H92" s="30">
        <f t="shared" si="25"/>
        <v>46432</v>
      </c>
      <c r="I92" s="30">
        <f t="shared" si="26"/>
        <v>46402</v>
      </c>
      <c r="J92" s="30">
        <f t="shared" si="27"/>
        <v>46464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>P</v>
      </c>
      <c r="T92" s="7" t="str">
        <f t="shared" si="29"/>
        <v>P</v>
      </c>
      <c r="U92" s="7" t="str">
        <f t="shared" si="29"/>
        <v>C</v>
      </c>
      <c r="V92" s="7" t="str">
        <f t="shared" si="29"/>
        <v/>
      </c>
      <c r="W92" s="7" t="str">
        <f t="shared" si="29"/>
        <v/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30">
        <f t="shared" si="22"/>
        <v>46460</v>
      </c>
      <c r="F93" s="30">
        <f t="shared" si="23"/>
        <v>46455</v>
      </c>
      <c r="G93" s="30">
        <f t="shared" si="24"/>
        <v>46440</v>
      </c>
      <c r="H93" s="30">
        <f t="shared" si="25"/>
        <v>46435</v>
      </c>
      <c r="I93" s="30">
        <f t="shared" si="26"/>
        <v>46405</v>
      </c>
      <c r="J93" s="30">
        <f t="shared" si="27"/>
        <v>46467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>P</v>
      </c>
      <c r="T93" s="7" t="str">
        <f t="shared" si="29"/>
        <v>P</v>
      </c>
      <c r="U93" s="7" t="str">
        <f t="shared" si="29"/>
        <v>C</v>
      </c>
      <c r="V93" s="7" t="str">
        <f t="shared" si="29"/>
        <v/>
      </c>
      <c r="W93" s="7" t="str">
        <f t="shared" si="29"/>
        <v/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30">
        <f t="shared" si="22"/>
        <v>46463</v>
      </c>
      <c r="F94" s="30">
        <f t="shared" si="23"/>
        <v>46458</v>
      </c>
      <c r="G94" s="30">
        <f t="shared" si="24"/>
        <v>46443</v>
      </c>
      <c r="H94" s="30">
        <f t="shared" si="25"/>
        <v>46438</v>
      </c>
      <c r="I94" s="30">
        <f t="shared" si="26"/>
        <v>46408</v>
      </c>
      <c r="J94" s="30">
        <f t="shared" si="27"/>
        <v>46470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>P</v>
      </c>
      <c r="T94" s="7" t="str">
        <f t="shared" si="29"/>
        <v>P</v>
      </c>
      <c r="U94" s="7" t="str">
        <f t="shared" si="29"/>
        <v>C</v>
      </c>
      <c r="V94" s="7" t="str">
        <f t="shared" si="29"/>
        <v/>
      </c>
      <c r="W94" s="7" t="str">
        <f t="shared" si="29"/>
        <v/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30">
        <f t="shared" si="22"/>
        <v>46466</v>
      </c>
      <c r="F95" s="30">
        <f t="shared" si="23"/>
        <v>46461</v>
      </c>
      <c r="G95" s="30">
        <f t="shared" si="24"/>
        <v>46446</v>
      </c>
      <c r="H95" s="30">
        <f t="shared" si="25"/>
        <v>46441</v>
      </c>
      <c r="I95" s="30">
        <f t="shared" si="26"/>
        <v>46411</v>
      </c>
      <c r="J95" s="30">
        <f t="shared" si="27"/>
        <v>46473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>P</v>
      </c>
      <c r="T95" s="7" t="str">
        <f t="shared" si="29"/>
        <v>P</v>
      </c>
      <c r="U95" s="7" t="str">
        <f t="shared" si="29"/>
        <v>C</v>
      </c>
      <c r="V95" s="7" t="str">
        <f t="shared" si="29"/>
        <v/>
      </c>
      <c r="W95" s="7" t="str">
        <f t="shared" si="29"/>
        <v/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30">
        <f t="shared" si="22"/>
        <v>46469</v>
      </c>
      <c r="F96" s="30">
        <f t="shared" si="23"/>
        <v>46464</v>
      </c>
      <c r="G96" s="30">
        <f t="shared" si="24"/>
        <v>46449</v>
      </c>
      <c r="H96" s="30">
        <f t="shared" si="25"/>
        <v>46444</v>
      </c>
      <c r="I96" s="30">
        <f t="shared" si="26"/>
        <v>46414</v>
      </c>
      <c r="J96" s="30">
        <f t="shared" si="27"/>
        <v>46476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>P</v>
      </c>
      <c r="T96" s="7" t="str">
        <f t="shared" si="29"/>
        <v>P</v>
      </c>
      <c r="U96" s="7" t="str">
        <f t="shared" si="29"/>
        <v>C</v>
      </c>
      <c r="V96" s="7" t="str">
        <f t="shared" si="29"/>
        <v/>
      </c>
      <c r="W96" s="7" t="str">
        <f t="shared" si="29"/>
        <v/>
      </c>
      <c r="X96" s="7" t="str">
        <f t="shared" si="29"/>
        <v/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30">
        <f t="shared" si="22"/>
        <v>46472</v>
      </c>
      <c r="F97" s="30">
        <f t="shared" si="23"/>
        <v>46467</v>
      </c>
      <c r="G97" s="30">
        <f t="shared" si="24"/>
        <v>46452</v>
      </c>
      <c r="H97" s="30">
        <f t="shared" si="25"/>
        <v>46447</v>
      </c>
      <c r="I97" s="30">
        <f t="shared" si="26"/>
        <v>46417</v>
      </c>
      <c r="J97" s="30">
        <f t="shared" si="27"/>
        <v>46479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>P</v>
      </c>
      <c r="T97" s="7" t="str">
        <f t="shared" si="29"/>
        <v>P</v>
      </c>
      <c r="U97" s="7" t="str">
        <f t="shared" si="29"/>
        <v>C</v>
      </c>
      <c r="V97" s="7" t="str">
        <f t="shared" si="29"/>
        <v/>
      </c>
      <c r="W97" s="7" t="str">
        <f t="shared" si="29"/>
        <v/>
      </c>
      <c r="X97" s="7" t="str">
        <f t="shared" si="29"/>
        <v/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30">
        <f t="shared" si="22"/>
        <v>46475</v>
      </c>
      <c r="F98" s="30">
        <f t="shared" si="23"/>
        <v>46470</v>
      </c>
      <c r="G98" s="30">
        <f t="shared" si="24"/>
        <v>46455</v>
      </c>
      <c r="H98" s="30">
        <f t="shared" si="25"/>
        <v>46450</v>
      </c>
      <c r="I98" s="30">
        <f t="shared" si="26"/>
        <v>46420</v>
      </c>
      <c r="J98" s="30">
        <f t="shared" si="27"/>
        <v>46482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>P</v>
      </c>
      <c r="U98" s="7" t="str">
        <f t="shared" si="29"/>
        <v>C</v>
      </c>
      <c r="V98" s="7" t="str">
        <f t="shared" si="29"/>
        <v/>
      </c>
      <c r="W98" s="7" t="str">
        <f t="shared" si="29"/>
        <v/>
      </c>
      <c r="X98" s="7" t="str">
        <f t="shared" si="29"/>
        <v/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30">
        <f t="shared" si="22"/>
        <v>46478</v>
      </c>
      <c r="F99" s="30">
        <f t="shared" si="23"/>
        <v>46473</v>
      </c>
      <c r="G99" s="30">
        <f t="shared" si="24"/>
        <v>46458</v>
      </c>
      <c r="H99" s="30">
        <f t="shared" si="25"/>
        <v>46453</v>
      </c>
      <c r="I99" s="30">
        <f t="shared" si="26"/>
        <v>46423</v>
      </c>
      <c r="J99" s="30">
        <f t="shared" si="27"/>
        <v>46485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>P</v>
      </c>
      <c r="U99" s="7" t="str">
        <f t="shared" si="29"/>
        <v>P</v>
      </c>
      <c r="V99" s="7" t="str">
        <f t="shared" si="29"/>
        <v>C</v>
      </c>
      <c r="W99" s="7" t="str">
        <f t="shared" si="29"/>
        <v/>
      </c>
      <c r="X99" s="7" t="str">
        <f t="shared" si="29"/>
        <v/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30">
        <f t="shared" si="22"/>
        <v>46481</v>
      </c>
      <c r="F100" s="30">
        <f t="shared" si="23"/>
        <v>46476</v>
      </c>
      <c r="G100" s="30">
        <f t="shared" si="24"/>
        <v>46461</v>
      </c>
      <c r="H100" s="30">
        <f t="shared" si="25"/>
        <v>46456</v>
      </c>
      <c r="I100" s="30">
        <f t="shared" si="26"/>
        <v>46426</v>
      </c>
      <c r="J100" s="30">
        <f t="shared" si="27"/>
        <v>46488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>P</v>
      </c>
      <c r="U100" s="7" t="str">
        <f t="shared" si="29"/>
        <v>P</v>
      </c>
      <c r="V100" s="7" t="str">
        <f t="shared" si="29"/>
        <v>C</v>
      </c>
      <c r="W100" s="7" t="str">
        <f t="shared" si="29"/>
        <v/>
      </c>
      <c r="X100" s="7" t="str">
        <f t="shared" si="29"/>
        <v/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30">
        <f t="shared" si="22"/>
        <v>46484</v>
      </c>
      <c r="F101" s="30">
        <f t="shared" si="23"/>
        <v>46479</v>
      </c>
      <c r="G101" s="30">
        <f t="shared" si="24"/>
        <v>46464</v>
      </c>
      <c r="H101" s="30">
        <f t="shared" si="25"/>
        <v>46459</v>
      </c>
      <c r="I101" s="30">
        <f t="shared" si="26"/>
        <v>46429</v>
      </c>
      <c r="J101" s="30">
        <f t="shared" si="27"/>
        <v>46491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>P</v>
      </c>
      <c r="U101" s="7" t="str">
        <f t="shared" si="29"/>
        <v>P</v>
      </c>
      <c r="V101" s="7" t="str">
        <f t="shared" si="29"/>
        <v>C</v>
      </c>
      <c r="W101" s="7" t="str">
        <f t="shared" si="29"/>
        <v/>
      </c>
      <c r="X101" s="7" t="str">
        <f t="shared" si="29"/>
        <v/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30">
        <f t="shared" si="22"/>
        <v>46487</v>
      </c>
      <c r="F102" s="30">
        <f t="shared" si="23"/>
        <v>46482</v>
      </c>
      <c r="G102" s="30">
        <f t="shared" si="24"/>
        <v>46467</v>
      </c>
      <c r="H102" s="30">
        <f t="shared" si="25"/>
        <v>46462</v>
      </c>
      <c r="I102" s="30">
        <f t="shared" si="26"/>
        <v>46432</v>
      </c>
      <c r="J102" s="30">
        <f t="shared" si="27"/>
        <v>46494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>P</v>
      </c>
      <c r="U102" s="7" t="str">
        <f t="shared" si="29"/>
        <v>P</v>
      </c>
      <c r="V102" s="7" t="str">
        <f t="shared" si="29"/>
        <v>C</v>
      </c>
      <c r="W102" s="7" t="str">
        <f t="shared" si="29"/>
        <v/>
      </c>
      <c r="X102" s="7" t="str">
        <f t="shared" si="29"/>
        <v/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30">
        <f t="shared" si="22"/>
        <v>46490</v>
      </c>
      <c r="F103" s="30">
        <f t="shared" si="23"/>
        <v>46485</v>
      </c>
      <c r="G103" s="30">
        <f t="shared" si="24"/>
        <v>46470</v>
      </c>
      <c r="H103" s="30">
        <f t="shared" si="25"/>
        <v>46465</v>
      </c>
      <c r="I103" s="30">
        <f t="shared" si="26"/>
        <v>46435</v>
      </c>
      <c r="J103" s="30">
        <f t="shared" si="27"/>
        <v>46497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>P</v>
      </c>
      <c r="U103" s="7" t="str">
        <f t="shared" si="29"/>
        <v>P</v>
      </c>
      <c r="V103" s="7" t="str">
        <f t="shared" si="29"/>
        <v>C</v>
      </c>
      <c r="W103" s="7" t="str">
        <f t="shared" si="29"/>
        <v/>
      </c>
      <c r="X103" s="7" t="str">
        <f t="shared" si="29"/>
        <v/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30">
        <f t="shared" si="22"/>
        <v>46493</v>
      </c>
      <c r="F104" s="30">
        <f t="shared" si="23"/>
        <v>46488</v>
      </c>
      <c r="G104" s="30">
        <f t="shared" si="24"/>
        <v>46473</v>
      </c>
      <c r="H104" s="30">
        <f t="shared" si="25"/>
        <v>46468</v>
      </c>
      <c r="I104" s="30">
        <f t="shared" si="26"/>
        <v>46438</v>
      </c>
      <c r="J104" s="30">
        <f t="shared" si="27"/>
        <v>46500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>P</v>
      </c>
      <c r="U104" s="7" t="str">
        <f t="shared" si="29"/>
        <v>P</v>
      </c>
      <c r="V104" s="7" t="str">
        <f t="shared" si="29"/>
        <v>C</v>
      </c>
      <c r="W104" s="7" t="str">
        <f t="shared" si="29"/>
        <v/>
      </c>
      <c r="X104" s="7" t="str">
        <f t="shared" si="29"/>
        <v/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30">
        <f t="shared" si="22"/>
        <v>46496</v>
      </c>
      <c r="F105" s="30">
        <f t="shared" si="23"/>
        <v>46491</v>
      </c>
      <c r="G105" s="30">
        <f t="shared" si="24"/>
        <v>46476</v>
      </c>
      <c r="H105" s="30">
        <f t="shared" si="25"/>
        <v>46471</v>
      </c>
      <c r="I105" s="30">
        <f t="shared" si="26"/>
        <v>46441</v>
      </c>
      <c r="J105" s="30">
        <f t="shared" si="27"/>
        <v>46503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>P</v>
      </c>
      <c r="U105" s="7" t="str">
        <f t="shared" si="29"/>
        <v>P</v>
      </c>
      <c r="V105" s="7" t="str">
        <f t="shared" si="29"/>
        <v>C</v>
      </c>
      <c r="W105" s="7" t="str">
        <f t="shared" si="29"/>
        <v/>
      </c>
      <c r="X105" s="7" t="str">
        <f t="shared" si="29"/>
        <v/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30">
        <f t="shared" si="22"/>
        <v>46499</v>
      </c>
      <c r="F106" s="30">
        <f t="shared" si="23"/>
        <v>46494</v>
      </c>
      <c r="G106" s="30">
        <f t="shared" si="24"/>
        <v>46479</v>
      </c>
      <c r="H106" s="30">
        <f t="shared" si="25"/>
        <v>46474</v>
      </c>
      <c r="I106" s="30">
        <f t="shared" si="26"/>
        <v>46444</v>
      </c>
      <c r="J106" s="30">
        <f t="shared" si="27"/>
        <v>46506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>P</v>
      </c>
      <c r="U106" s="7" t="str">
        <f t="shared" si="29"/>
        <v>P</v>
      </c>
      <c r="V106" s="7" t="str">
        <f t="shared" si="29"/>
        <v>C</v>
      </c>
      <c r="W106" s="7" t="str">
        <f t="shared" si="29"/>
        <v/>
      </c>
      <c r="X106" s="7" t="str">
        <f t="shared" si="29"/>
        <v/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30">
        <f t="shared" si="22"/>
        <v>46502</v>
      </c>
      <c r="F107" s="30">
        <f t="shared" si="23"/>
        <v>46497</v>
      </c>
      <c r="G107" s="30">
        <f t="shared" si="24"/>
        <v>46482</v>
      </c>
      <c r="H107" s="30">
        <f t="shared" si="25"/>
        <v>46477</v>
      </c>
      <c r="I107" s="30">
        <f t="shared" si="26"/>
        <v>46447</v>
      </c>
      <c r="J107" s="30">
        <f t="shared" si="27"/>
        <v>46509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>P</v>
      </c>
      <c r="V107" s="7" t="str">
        <f t="shared" si="29"/>
        <v>C</v>
      </c>
      <c r="W107" s="7" t="str">
        <f t="shared" si="29"/>
        <v/>
      </c>
      <c r="X107" s="7" t="str">
        <f t="shared" si="29"/>
        <v/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30">
        <f t="shared" si="22"/>
        <v>46505</v>
      </c>
      <c r="F108" s="30">
        <f t="shared" si="23"/>
        <v>46500</v>
      </c>
      <c r="G108" s="30">
        <f t="shared" si="24"/>
        <v>46485</v>
      </c>
      <c r="H108" s="30">
        <f t="shared" si="25"/>
        <v>46480</v>
      </c>
      <c r="I108" s="30">
        <f t="shared" si="26"/>
        <v>46450</v>
      </c>
      <c r="J108" s="30">
        <f t="shared" si="27"/>
        <v>46512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>P</v>
      </c>
      <c r="V108" s="7" t="str">
        <f t="shared" si="29"/>
        <v>C</v>
      </c>
      <c r="W108" s="7" t="str">
        <f t="shared" si="29"/>
        <v/>
      </c>
      <c r="X108" s="7" t="str">
        <f t="shared" si="29"/>
        <v/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30">
        <f t="shared" si="22"/>
        <v>46508</v>
      </c>
      <c r="F109" s="30">
        <f t="shared" si="23"/>
        <v>46503</v>
      </c>
      <c r="G109" s="30">
        <f t="shared" si="24"/>
        <v>46488</v>
      </c>
      <c r="H109" s="30">
        <f t="shared" si="25"/>
        <v>46483</v>
      </c>
      <c r="I109" s="30">
        <f t="shared" si="26"/>
        <v>46453</v>
      </c>
      <c r="J109" s="30">
        <f t="shared" si="27"/>
        <v>46515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>P</v>
      </c>
      <c r="V109" s="7" t="str">
        <f t="shared" si="29"/>
        <v>P</v>
      </c>
      <c r="W109" s="7" t="str">
        <f t="shared" si="29"/>
        <v>C</v>
      </c>
      <c r="X109" s="7" t="str">
        <f t="shared" si="29"/>
        <v/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30">
        <f t="shared" si="22"/>
        <v>46511</v>
      </c>
      <c r="F110" s="30">
        <f t="shared" si="23"/>
        <v>46506</v>
      </c>
      <c r="G110" s="30">
        <f t="shared" si="24"/>
        <v>46491</v>
      </c>
      <c r="H110" s="30">
        <f t="shared" si="25"/>
        <v>46486</v>
      </c>
      <c r="I110" s="30">
        <f t="shared" si="26"/>
        <v>46456</v>
      </c>
      <c r="J110" s="30">
        <f t="shared" si="27"/>
        <v>46518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>P</v>
      </c>
      <c r="V110" s="7" t="str">
        <f t="shared" si="29"/>
        <v>P</v>
      </c>
      <c r="W110" s="7" t="str">
        <f t="shared" si="29"/>
        <v>C</v>
      </c>
      <c r="X110" s="7" t="str">
        <f t="shared" si="29"/>
        <v/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30">
        <f t="shared" si="22"/>
        <v>46514</v>
      </c>
      <c r="F111" s="30">
        <f t="shared" si="23"/>
        <v>46509</v>
      </c>
      <c r="G111" s="30">
        <f t="shared" si="24"/>
        <v>46494</v>
      </c>
      <c r="H111" s="30">
        <f t="shared" si="25"/>
        <v>46489</v>
      </c>
      <c r="I111" s="30">
        <f t="shared" si="26"/>
        <v>46459</v>
      </c>
      <c r="J111" s="30">
        <f t="shared" si="27"/>
        <v>46521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>P</v>
      </c>
      <c r="V111" s="7" t="str">
        <f t="shared" si="29"/>
        <v>P</v>
      </c>
      <c r="W111" s="7" t="str">
        <f t="shared" si="29"/>
        <v>C</v>
      </c>
      <c r="X111" s="7" t="str">
        <f t="shared" si="29"/>
        <v/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30">
        <f t="shared" si="22"/>
        <v>46517</v>
      </c>
      <c r="F112" s="30">
        <f t="shared" si="23"/>
        <v>46512</v>
      </c>
      <c r="G112" s="30">
        <f t="shared" si="24"/>
        <v>46497</v>
      </c>
      <c r="H112" s="30">
        <f t="shared" si="25"/>
        <v>46492</v>
      </c>
      <c r="I112" s="30">
        <f t="shared" si="26"/>
        <v>46462</v>
      </c>
      <c r="J112" s="30">
        <f t="shared" si="27"/>
        <v>46524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>P</v>
      </c>
      <c r="V112" s="7" t="str">
        <f t="shared" si="29"/>
        <v>P</v>
      </c>
      <c r="W112" s="7" t="str">
        <f t="shared" si="29"/>
        <v>C</v>
      </c>
      <c r="X112" s="7" t="str">
        <f t="shared" si="29"/>
        <v/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30">
        <f t="shared" si="22"/>
        <v>46520</v>
      </c>
      <c r="F113" s="30">
        <f t="shared" si="23"/>
        <v>46515</v>
      </c>
      <c r="G113" s="30">
        <f t="shared" si="24"/>
        <v>46500</v>
      </c>
      <c r="H113" s="30">
        <f t="shared" si="25"/>
        <v>46495</v>
      </c>
      <c r="I113" s="30">
        <f t="shared" si="26"/>
        <v>46465</v>
      </c>
      <c r="J113" s="30">
        <f t="shared" si="27"/>
        <v>46527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>P</v>
      </c>
      <c r="V113" s="7" t="str">
        <f t="shared" si="29"/>
        <v>P</v>
      </c>
      <c r="W113" s="7" t="str">
        <f t="shared" si="29"/>
        <v>C</v>
      </c>
      <c r="X113" s="7" t="str">
        <f t="shared" si="29"/>
        <v/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30">
        <f t="shared" ref="E114:E140" si="32">$C$4+ROUND((A114-1)*15/MAX($C$5,1),0)</f>
        <v>46523</v>
      </c>
      <c r="F114" s="30">
        <f t="shared" ref="F114:F140" si="33">E114-$C$11</f>
        <v>46518</v>
      </c>
      <c r="G114" s="30">
        <f t="shared" ref="G114:G140" si="34">F114-$C$10</f>
        <v>46503</v>
      </c>
      <c r="H114" s="30">
        <f t="shared" ref="H114:H140" si="35">G114-$C$9</f>
        <v>46498</v>
      </c>
      <c r="I114" s="30">
        <f t="shared" ref="I114:I140" si="36">H114-$C$8</f>
        <v>46468</v>
      </c>
      <c r="J114" s="30">
        <f t="shared" ref="J114:J140" si="37">E114+$C$12</f>
        <v>46530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>P</v>
      </c>
      <c r="V114" s="7" t="str">
        <f t="shared" si="29"/>
        <v>P</v>
      </c>
      <c r="W114" s="7" t="str">
        <f t="shared" si="29"/>
        <v>C</v>
      </c>
      <c r="X114" s="7" t="str">
        <f t="shared" si="29"/>
        <v/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30">
        <f t="shared" si="32"/>
        <v>46526</v>
      </c>
      <c r="F115" s="30">
        <f t="shared" si="33"/>
        <v>46521</v>
      </c>
      <c r="G115" s="30">
        <f t="shared" si="34"/>
        <v>46506</v>
      </c>
      <c r="H115" s="30">
        <f t="shared" si="35"/>
        <v>46501</v>
      </c>
      <c r="I115" s="30">
        <f t="shared" si="36"/>
        <v>46471</v>
      </c>
      <c r="J115" s="30">
        <f t="shared" si="37"/>
        <v>46533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>P</v>
      </c>
      <c r="V115" s="7" t="str">
        <f t="shared" si="30"/>
        <v>P</v>
      </c>
      <c r="W115" s="7" t="str">
        <f t="shared" si="30"/>
        <v>C</v>
      </c>
      <c r="X115" s="7" t="str">
        <f t="shared" si="30"/>
        <v/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30">
        <f t="shared" si="32"/>
        <v>46529</v>
      </c>
      <c r="F116" s="30">
        <f t="shared" si="33"/>
        <v>46524</v>
      </c>
      <c r="G116" s="30">
        <f t="shared" si="34"/>
        <v>46509</v>
      </c>
      <c r="H116" s="30">
        <f t="shared" si="35"/>
        <v>46504</v>
      </c>
      <c r="I116" s="30">
        <f t="shared" si="36"/>
        <v>46474</v>
      </c>
      <c r="J116" s="30">
        <f t="shared" si="37"/>
        <v>46536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>P</v>
      </c>
      <c r="V116" s="7" t="str">
        <f t="shared" si="30"/>
        <v>P</v>
      </c>
      <c r="W116" s="7" t="str">
        <f t="shared" si="30"/>
        <v>C</v>
      </c>
      <c r="X116" s="7" t="str">
        <f t="shared" si="30"/>
        <v/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30">
        <f t="shared" si="32"/>
        <v>46532</v>
      </c>
      <c r="F117" s="30">
        <f t="shared" si="33"/>
        <v>46527</v>
      </c>
      <c r="G117" s="30">
        <f t="shared" si="34"/>
        <v>46512</v>
      </c>
      <c r="H117" s="30">
        <f t="shared" si="35"/>
        <v>46507</v>
      </c>
      <c r="I117" s="30">
        <f t="shared" si="36"/>
        <v>46477</v>
      </c>
      <c r="J117" s="30">
        <f t="shared" si="37"/>
        <v>46539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>P</v>
      </c>
      <c r="V117" s="7" t="str">
        <f t="shared" si="30"/>
        <v>P</v>
      </c>
      <c r="W117" s="7" t="str">
        <f t="shared" si="30"/>
        <v>C</v>
      </c>
      <c r="X117" s="7" t="str">
        <f t="shared" si="30"/>
        <v/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30">
        <f t="shared" si="32"/>
        <v>46535</v>
      </c>
      <c r="F118" s="30">
        <f t="shared" si="33"/>
        <v>46530</v>
      </c>
      <c r="G118" s="30">
        <f t="shared" si="34"/>
        <v>46515</v>
      </c>
      <c r="H118" s="30">
        <f t="shared" si="35"/>
        <v>46510</v>
      </c>
      <c r="I118" s="30">
        <f t="shared" si="36"/>
        <v>46480</v>
      </c>
      <c r="J118" s="30">
        <f t="shared" si="37"/>
        <v>46542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>P</v>
      </c>
      <c r="W118" s="7" t="str">
        <f t="shared" si="30"/>
        <v>C</v>
      </c>
      <c r="X118" s="7" t="str">
        <f t="shared" si="30"/>
        <v/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30">
        <f t="shared" si="32"/>
        <v>46538</v>
      </c>
      <c r="F119" s="30">
        <f t="shared" si="33"/>
        <v>46533</v>
      </c>
      <c r="G119" s="30">
        <f t="shared" si="34"/>
        <v>46518</v>
      </c>
      <c r="H119" s="30">
        <f t="shared" si="35"/>
        <v>46513</v>
      </c>
      <c r="I119" s="30">
        <f t="shared" si="36"/>
        <v>46483</v>
      </c>
      <c r="J119" s="30">
        <f t="shared" si="37"/>
        <v>46545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>P</v>
      </c>
      <c r="W119" s="7" t="str">
        <f t="shared" si="30"/>
        <v>C</v>
      </c>
      <c r="X119" s="7" t="str">
        <f t="shared" si="30"/>
        <v/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30">
        <f t="shared" si="32"/>
        <v>46541</v>
      </c>
      <c r="F120" s="30">
        <f t="shared" si="33"/>
        <v>46536</v>
      </c>
      <c r="G120" s="30">
        <f t="shared" si="34"/>
        <v>46521</v>
      </c>
      <c r="H120" s="30">
        <f t="shared" si="35"/>
        <v>46516</v>
      </c>
      <c r="I120" s="30">
        <f t="shared" si="36"/>
        <v>46486</v>
      </c>
      <c r="J120" s="30">
        <f t="shared" si="37"/>
        <v>46548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>P</v>
      </c>
      <c r="W120" s="7" t="str">
        <f t="shared" si="30"/>
        <v>P</v>
      </c>
      <c r="X120" s="7" t="str">
        <f t="shared" si="30"/>
        <v>C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30">
        <f t="shared" si="32"/>
        <v>46544</v>
      </c>
      <c r="F121" s="30">
        <f t="shared" si="33"/>
        <v>46539</v>
      </c>
      <c r="G121" s="30">
        <f t="shared" si="34"/>
        <v>46524</v>
      </c>
      <c r="H121" s="30">
        <f t="shared" si="35"/>
        <v>46519</v>
      </c>
      <c r="I121" s="30">
        <f t="shared" si="36"/>
        <v>46489</v>
      </c>
      <c r="J121" s="30">
        <f t="shared" si="37"/>
        <v>46551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>P</v>
      </c>
      <c r="W121" s="7" t="str">
        <f t="shared" si="30"/>
        <v>P</v>
      </c>
      <c r="X121" s="7" t="str">
        <f t="shared" si="30"/>
        <v>C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30">
        <f t="shared" si="32"/>
        <v>46547</v>
      </c>
      <c r="F122" s="30">
        <f t="shared" si="33"/>
        <v>46542</v>
      </c>
      <c r="G122" s="30">
        <f t="shared" si="34"/>
        <v>46527</v>
      </c>
      <c r="H122" s="30">
        <f t="shared" si="35"/>
        <v>46522</v>
      </c>
      <c r="I122" s="30">
        <f t="shared" si="36"/>
        <v>46492</v>
      </c>
      <c r="J122" s="30">
        <f t="shared" si="37"/>
        <v>46554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>P</v>
      </c>
      <c r="W122" s="7" t="str">
        <f t="shared" si="30"/>
        <v>P</v>
      </c>
      <c r="X122" s="7" t="str">
        <f t="shared" si="30"/>
        <v>C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30">
        <f t="shared" si="32"/>
        <v>46550</v>
      </c>
      <c r="F123" s="30">
        <f t="shared" si="33"/>
        <v>46545</v>
      </c>
      <c r="G123" s="30">
        <f t="shared" si="34"/>
        <v>46530</v>
      </c>
      <c r="H123" s="30">
        <f t="shared" si="35"/>
        <v>46525</v>
      </c>
      <c r="I123" s="30">
        <f t="shared" si="36"/>
        <v>46495</v>
      </c>
      <c r="J123" s="30">
        <f t="shared" si="37"/>
        <v>46557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>P</v>
      </c>
      <c r="W123" s="7" t="str">
        <f t="shared" si="30"/>
        <v>P</v>
      </c>
      <c r="X123" s="7" t="str">
        <f t="shared" si="30"/>
        <v>C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30">
        <f t="shared" si="32"/>
        <v>46553</v>
      </c>
      <c r="F124" s="30">
        <f t="shared" si="33"/>
        <v>46548</v>
      </c>
      <c r="G124" s="30">
        <f t="shared" si="34"/>
        <v>46533</v>
      </c>
      <c r="H124" s="30">
        <f t="shared" si="35"/>
        <v>46528</v>
      </c>
      <c r="I124" s="30">
        <f t="shared" si="36"/>
        <v>46498</v>
      </c>
      <c r="J124" s="30">
        <f t="shared" si="37"/>
        <v>46560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>P</v>
      </c>
      <c r="W124" s="7" t="str">
        <f t="shared" si="30"/>
        <v>P</v>
      </c>
      <c r="X124" s="7" t="str">
        <f t="shared" si="30"/>
        <v>C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30">
        <f t="shared" si="32"/>
        <v>46556</v>
      </c>
      <c r="F125" s="30">
        <f t="shared" si="33"/>
        <v>46551</v>
      </c>
      <c r="G125" s="30">
        <f t="shared" si="34"/>
        <v>46536</v>
      </c>
      <c r="H125" s="30">
        <f t="shared" si="35"/>
        <v>46531</v>
      </c>
      <c r="I125" s="30">
        <f t="shared" si="36"/>
        <v>46501</v>
      </c>
      <c r="J125" s="30">
        <f t="shared" si="37"/>
        <v>46563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>P</v>
      </c>
      <c r="W125" s="7" t="str">
        <f t="shared" si="30"/>
        <v>P</v>
      </c>
      <c r="X125" s="7" t="str">
        <f t="shared" si="30"/>
        <v>C</v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30">
        <f t="shared" si="32"/>
        <v>46559</v>
      </c>
      <c r="F126" s="30">
        <f t="shared" si="33"/>
        <v>46554</v>
      </c>
      <c r="G126" s="30">
        <f t="shared" si="34"/>
        <v>46539</v>
      </c>
      <c r="H126" s="30">
        <f t="shared" si="35"/>
        <v>46534</v>
      </c>
      <c r="I126" s="30">
        <f t="shared" si="36"/>
        <v>46504</v>
      </c>
      <c r="J126" s="30">
        <f t="shared" si="37"/>
        <v>46566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>P</v>
      </c>
      <c r="W126" s="7" t="str">
        <f t="shared" si="30"/>
        <v>P</v>
      </c>
      <c r="X126" s="7" t="str">
        <f t="shared" si="30"/>
        <v>C</v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30">
        <f t="shared" si="32"/>
        <v>46562</v>
      </c>
      <c r="F127" s="30">
        <f t="shared" si="33"/>
        <v>46557</v>
      </c>
      <c r="G127" s="30">
        <f t="shared" si="34"/>
        <v>46542</v>
      </c>
      <c r="H127" s="30">
        <f t="shared" si="35"/>
        <v>46537</v>
      </c>
      <c r="I127" s="30">
        <f t="shared" si="36"/>
        <v>46507</v>
      </c>
      <c r="J127" s="30">
        <f t="shared" si="37"/>
        <v>46569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>P</v>
      </c>
      <c r="W127" s="7" t="str">
        <f t="shared" si="30"/>
        <v>P</v>
      </c>
      <c r="X127" s="7" t="str">
        <f t="shared" si="30"/>
        <v>C</v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30">
        <f t="shared" si="32"/>
        <v>46565</v>
      </c>
      <c r="F128" s="30">
        <f t="shared" si="33"/>
        <v>46560</v>
      </c>
      <c r="G128" s="30">
        <f t="shared" si="34"/>
        <v>46545</v>
      </c>
      <c r="H128" s="30">
        <f t="shared" si="35"/>
        <v>46540</v>
      </c>
      <c r="I128" s="30">
        <f t="shared" si="36"/>
        <v>46510</v>
      </c>
      <c r="J128" s="30">
        <f t="shared" si="37"/>
        <v>46572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>P</v>
      </c>
      <c r="X128" s="7" t="str">
        <f t="shared" si="30"/>
        <v>C</v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30">
        <f t="shared" si="32"/>
        <v>46568</v>
      </c>
      <c r="F129" s="30">
        <f t="shared" si="33"/>
        <v>46563</v>
      </c>
      <c r="G129" s="30">
        <f t="shared" si="34"/>
        <v>46548</v>
      </c>
      <c r="H129" s="30">
        <f t="shared" si="35"/>
        <v>46543</v>
      </c>
      <c r="I129" s="30">
        <f t="shared" si="36"/>
        <v>46513</v>
      </c>
      <c r="J129" s="30">
        <f t="shared" si="37"/>
        <v>46575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>P</v>
      </c>
      <c r="X129" s="7" t="str">
        <f t="shared" si="30"/>
        <v>C</v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30">
        <f t="shared" si="32"/>
        <v>46571</v>
      </c>
      <c r="F130" s="30">
        <f t="shared" si="33"/>
        <v>46566</v>
      </c>
      <c r="G130" s="30">
        <f t="shared" si="34"/>
        <v>46551</v>
      </c>
      <c r="H130" s="30">
        <f t="shared" si="35"/>
        <v>46546</v>
      </c>
      <c r="I130" s="30">
        <f t="shared" si="36"/>
        <v>46516</v>
      </c>
      <c r="J130" s="30">
        <f t="shared" si="37"/>
        <v>46578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>P</v>
      </c>
      <c r="X130" s="7" t="str">
        <f t="shared" si="30"/>
        <v>P</v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30">
        <f t="shared" si="32"/>
        <v>46574</v>
      </c>
      <c r="F131" s="30">
        <f t="shared" si="33"/>
        <v>46569</v>
      </c>
      <c r="G131" s="30">
        <f t="shared" si="34"/>
        <v>46554</v>
      </c>
      <c r="H131" s="30">
        <f t="shared" si="35"/>
        <v>46549</v>
      </c>
      <c r="I131" s="30">
        <f t="shared" si="36"/>
        <v>46519</v>
      </c>
      <c r="J131" s="30">
        <f t="shared" si="37"/>
        <v>46581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>P</v>
      </c>
      <c r="X131" s="7" t="str">
        <f t="shared" si="30"/>
        <v>P</v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30">
        <f t="shared" si="32"/>
        <v>46577</v>
      </c>
      <c r="F132" s="30">
        <f t="shared" si="33"/>
        <v>46572</v>
      </c>
      <c r="G132" s="30">
        <f t="shared" si="34"/>
        <v>46557</v>
      </c>
      <c r="H132" s="30">
        <f t="shared" si="35"/>
        <v>46552</v>
      </c>
      <c r="I132" s="30">
        <f t="shared" si="36"/>
        <v>46522</v>
      </c>
      <c r="J132" s="30">
        <f t="shared" si="37"/>
        <v>46584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>P</v>
      </c>
      <c r="X132" s="7" t="str">
        <f t="shared" si="30"/>
        <v>P</v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30">
        <f t="shared" si="32"/>
        <v>46580</v>
      </c>
      <c r="F133" s="30">
        <f t="shared" si="33"/>
        <v>46575</v>
      </c>
      <c r="G133" s="30">
        <f t="shared" si="34"/>
        <v>46560</v>
      </c>
      <c r="H133" s="30">
        <f t="shared" si="35"/>
        <v>46555</v>
      </c>
      <c r="I133" s="30">
        <f t="shared" si="36"/>
        <v>46525</v>
      </c>
      <c r="J133" s="30">
        <f t="shared" si="37"/>
        <v>46587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>P</v>
      </c>
      <c r="X133" s="7" t="str">
        <f t="shared" si="30"/>
        <v>P</v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30">
        <f t="shared" si="32"/>
        <v>46583</v>
      </c>
      <c r="F134" s="30">
        <f t="shared" si="33"/>
        <v>46578</v>
      </c>
      <c r="G134" s="30">
        <f t="shared" si="34"/>
        <v>46563</v>
      </c>
      <c r="H134" s="30">
        <f t="shared" si="35"/>
        <v>46558</v>
      </c>
      <c r="I134" s="30">
        <f t="shared" si="36"/>
        <v>46528</v>
      </c>
      <c r="J134" s="30">
        <f t="shared" si="37"/>
        <v>46590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>P</v>
      </c>
      <c r="X134" s="7" t="str">
        <f t="shared" si="30"/>
        <v>P</v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30">
        <f t="shared" si="32"/>
        <v>46586</v>
      </c>
      <c r="F135" s="30">
        <f t="shared" si="33"/>
        <v>46581</v>
      </c>
      <c r="G135" s="30">
        <f t="shared" si="34"/>
        <v>46566</v>
      </c>
      <c r="H135" s="30">
        <f t="shared" si="35"/>
        <v>46561</v>
      </c>
      <c r="I135" s="30">
        <f t="shared" si="36"/>
        <v>46531</v>
      </c>
      <c r="J135" s="30">
        <f t="shared" si="37"/>
        <v>46593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>P</v>
      </c>
      <c r="X135" s="7" t="str">
        <f t="shared" si="30"/>
        <v>P</v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30">
        <f t="shared" si="32"/>
        <v>46589</v>
      </c>
      <c r="F136" s="30">
        <f t="shared" si="33"/>
        <v>46584</v>
      </c>
      <c r="G136" s="30">
        <f t="shared" si="34"/>
        <v>46569</v>
      </c>
      <c r="H136" s="30">
        <f t="shared" si="35"/>
        <v>46564</v>
      </c>
      <c r="I136" s="30">
        <f t="shared" si="36"/>
        <v>46534</v>
      </c>
      <c r="J136" s="30">
        <f t="shared" si="37"/>
        <v>46596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>P</v>
      </c>
      <c r="X136" s="7" t="str">
        <f t="shared" si="30"/>
        <v>P</v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30">
        <f t="shared" si="32"/>
        <v>46592</v>
      </c>
      <c r="F137" s="30">
        <f t="shared" si="33"/>
        <v>46587</v>
      </c>
      <c r="G137" s="30">
        <f t="shared" si="34"/>
        <v>46572</v>
      </c>
      <c r="H137" s="30">
        <f t="shared" si="35"/>
        <v>46567</v>
      </c>
      <c r="I137" s="30">
        <f t="shared" si="36"/>
        <v>46537</v>
      </c>
      <c r="J137" s="30">
        <f t="shared" si="37"/>
        <v>46599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>P</v>
      </c>
      <c r="X137" s="7" t="str">
        <f t="shared" si="30"/>
        <v>P</v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30">
        <f t="shared" si="32"/>
        <v>46595</v>
      </c>
      <c r="F138" s="30">
        <f t="shared" si="33"/>
        <v>46590</v>
      </c>
      <c r="G138" s="30">
        <f t="shared" si="34"/>
        <v>46575</v>
      </c>
      <c r="H138" s="30">
        <f t="shared" si="35"/>
        <v>46570</v>
      </c>
      <c r="I138" s="30">
        <f t="shared" si="36"/>
        <v>46540</v>
      </c>
      <c r="J138" s="30">
        <f t="shared" si="37"/>
        <v>46602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>P</v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30">
        <f t="shared" si="32"/>
        <v>46598</v>
      </c>
      <c r="F139" s="30">
        <f t="shared" si="33"/>
        <v>46593</v>
      </c>
      <c r="G139" s="30">
        <f t="shared" si="34"/>
        <v>46578</v>
      </c>
      <c r="H139" s="30">
        <f t="shared" si="35"/>
        <v>46573</v>
      </c>
      <c r="I139" s="30">
        <f t="shared" si="36"/>
        <v>46543</v>
      </c>
      <c r="J139" s="30">
        <f t="shared" si="37"/>
        <v>46605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>P</v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30">
        <f t="shared" si="32"/>
        <v>46601</v>
      </c>
      <c r="F140" s="30">
        <f t="shared" si="33"/>
        <v>46596</v>
      </c>
      <c r="G140" s="30">
        <f t="shared" si="34"/>
        <v>46581</v>
      </c>
      <c r="H140" s="30">
        <f t="shared" si="35"/>
        <v>46576</v>
      </c>
      <c r="I140" s="30">
        <f t="shared" si="36"/>
        <v>46546</v>
      </c>
      <c r="J140" s="30">
        <f t="shared" si="37"/>
        <v>46608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>P</v>
      </c>
    </row>
    <row r="141" spans="1:24" ht="15" customHeight="1" x14ac:dyDescent="0.25">
      <c r="D141" s="29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4" sqref="C4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>
        <v>1</v>
      </c>
      <c r="D2" s="13">
        <v>2</v>
      </c>
      <c r="E2" s="13">
        <v>1</v>
      </c>
      <c r="F2" s="14">
        <f t="shared" ref="F2:F39" si="0">SUM(C2:E2)</f>
        <v>4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>
        <v>0</v>
      </c>
      <c r="D3" s="13">
        <v>0</v>
      </c>
      <c r="E3" s="13">
        <v>3</v>
      </c>
      <c r="F3" s="14">
        <f t="shared" si="0"/>
        <v>3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>
        <v>0</v>
      </c>
      <c r="D4" s="13">
        <v>1</v>
      </c>
      <c r="E4" s="13">
        <v>3</v>
      </c>
      <c r="F4" s="14">
        <f t="shared" si="0"/>
        <v>4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>
        <v>0</v>
      </c>
      <c r="D5" s="13">
        <v>0</v>
      </c>
      <c r="E5" s="13">
        <v>1</v>
      </c>
      <c r="F5" s="14">
        <f t="shared" si="0"/>
        <v>1</v>
      </c>
      <c r="G5" s="14"/>
      <c r="H5" s="13"/>
      <c r="I5" s="13"/>
      <c r="J5" s="13"/>
    </row>
    <row r="6" spans="1:10" ht="15" customHeight="1" x14ac:dyDescent="0.25">
      <c r="A6" s="27">
        <v>14046</v>
      </c>
      <c r="B6" s="12" t="s">
        <v>107</v>
      </c>
      <c r="C6" s="13">
        <v>0</v>
      </c>
      <c r="D6" s="13">
        <v>2</v>
      </c>
      <c r="E6" s="13">
        <v>6</v>
      </c>
      <c r="F6" s="14">
        <f t="shared" si="0"/>
        <v>8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>
        <v>0</v>
      </c>
      <c r="D7" s="13">
        <v>0</v>
      </c>
      <c r="E7" s="13">
        <v>1</v>
      </c>
      <c r="F7" s="14">
        <f t="shared" si="0"/>
        <v>1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>
        <v>0</v>
      </c>
      <c r="D8" s="13">
        <v>0</v>
      </c>
      <c r="E8" s="13">
        <v>2</v>
      </c>
      <c r="F8" s="14">
        <f t="shared" si="0"/>
        <v>2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>
        <v>3</v>
      </c>
      <c r="D9" s="13">
        <v>0</v>
      </c>
      <c r="E9" s="13">
        <v>1</v>
      </c>
      <c r="F9" s="14">
        <f t="shared" si="0"/>
        <v>4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>
        <v>0</v>
      </c>
      <c r="D10" s="13">
        <v>1</v>
      </c>
      <c r="E10" s="13">
        <v>3</v>
      </c>
      <c r="F10" s="14">
        <f t="shared" si="0"/>
        <v>4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>
        <v>0</v>
      </c>
      <c r="D11" s="13">
        <v>2</v>
      </c>
      <c r="E11" s="13">
        <v>2</v>
      </c>
      <c r="F11" s="14">
        <f t="shared" si="0"/>
        <v>4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>
        <v>0</v>
      </c>
      <c r="D12" s="13">
        <v>0</v>
      </c>
      <c r="E12" s="13">
        <v>1</v>
      </c>
      <c r="F12" s="14">
        <f t="shared" si="0"/>
        <v>1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>
        <v>1</v>
      </c>
      <c r="D13" s="13">
        <v>0</v>
      </c>
      <c r="E13" s="13">
        <v>1</v>
      </c>
      <c r="F13" s="14">
        <f t="shared" si="0"/>
        <v>2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>
        <v>0</v>
      </c>
      <c r="D14" s="13">
        <v>4</v>
      </c>
      <c r="E14" s="13">
        <v>6</v>
      </c>
      <c r="F14" s="14">
        <f t="shared" si="0"/>
        <v>10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>
        <v>2</v>
      </c>
      <c r="D15" s="13">
        <v>0</v>
      </c>
      <c r="E15" s="13">
        <v>3</v>
      </c>
      <c r="F15" s="14">
        <f t="shared" si="0"/>
        <v>5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>
        <v>0</v>
      </c>
      <c r="D16" s="13">
        <v>1</v>
      </c>
      <c r="E16" s="13">
        <v>11</v>
      </c>
      <c r="F16" s="14">
        <f t="shared" si="0"/>
        <v>12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>
        <v>0</v>
      </c>
      <c r="D17" s="13">
        <v>0</v>
      </c>
      <c r="E17" s="13">
        <v>0</v>
      </c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>
        <v>0</v>
      </c>
      <c r="D18" s="13">
        <v>0</v>
      </c>
      <c r="E18" s="13">
        <v>3</v>
      </c>
      <c r="F18" s="14">
        <f t="shared" si="0"/>
        <v>3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>
        <v>0</v>
      </c>
      <c r="D19" s="13">
        <v>1</v>
      </c>
      <c r="E19" s="13">
        <v>9</v>
      </c>
      <c r="F19" s="14">
        <f t="shared" si="0"/>
        <v>10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>
        <v>2</v>
      </c>
      <c r="D20" s="13">
        <v>0</v>
      </c>
      <c r="E20" s="13">
        <v>3</v>
      </c>
      <c r="F20" s="14">
        <f t="shared" si="0"/>
        <v>5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>
        <v>1</v>
      </c>
      <c r="D21" s="13">
        <v>0</v>
      </c>
      <c r="E21" s="13">
        <v>6</v>
      </c>
      <c r="F21" s="14">
        <f t="shared" si="0"/>
        <v>7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>
        <v>0</v>
      </c>
      <c r="D22" s="13">
        <v>0</v>
      </c>
      <c r="E22" s="13">
        <v>0</v>
      </c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>
        <v>0</v>
      </c>
      <c r="D23" s="13">
        <v>0</v>
      </c>
      <c r="E23" s="13">
        <v>1</v>
      </c>
      <c r="F23" s="14">
        <f t="shared" si="0"/>
        <v>1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>
        <v>1</v>
      </c>
      <c r="D24" s="13">
        <v>0</v>
      </c>
      <c r="E24" s="13">
        <v>0</v>
      </c>
      <c r="F24" s="14">
        <f t="shared" si="0"/>
        <v>1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>
        <v>0</v>
      </c>
      <c r="D25" s="13">
        <v>0</v>
      </c>
      <c r="E25" s="13">
        <v>14</v>
      </c>
      <c r="F25" s="14">
        <f t="shared" si="0"/>
        <v>14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>
        <v>0</v>
      </c>
      <c r="D26" s="13">
        <v>3</v>
      </c>
      <c r="E26" s="13">
        <v>0</v>
      </c>
      <c r="F26" s="14">
        <f t="shared" si="0"/>
        <v>3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>
        <v>0</v>
      </c>
      <c r="D27" s="13">
        <v>0</v>
      </c>
      <c r="E27" s="13">
        <v>0</v>
      </c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>
        <v>0</v>
      </c>
      <c r="D28" s="13">
        <v>0</v>
      </c>
      <c r="E28" s="13">
        <v>0</v>
      </c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>
        <v>1</v>
      </c>
      <c r="D29" s="13">
        <v>0</v>
      </c>
      <c r="E29" s="13">
        <v>0</v>
      </c>
      <c r="F29" s="14">
        <f t="shared" si="0"/>
        <v>1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>
        <v>3</v>
      </c>
      <c r="D30" s="13">
        <v>1</v>
      </c>
      <c r="E30" s="13">
        <v>1</v>
      </c>
      <c r="F30" s="14">
        <f t="shared" si="0"/>
        <v>5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>
        <v>0</v>
      </c>
      <c r="D31" s="13">
        <v>1</v>
      </c>
      <c r="E31" s="13">
        <v>2</v>
      </c>
      <c r="F31" s="14">
        <f t="shared" si="0"/>
        <v>3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>
        <v>0</v>
      </c>
      <c r="D32" s="13">
        <v>0</v>
      </c>
      <c r="E32" s="13">
        <v>3</v>
      </c>
      <c r="F32" s="14">
        <f t="shared" si="0"/>
        <v>3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>
        <v>1</v>
      </c>
      <c r="D33" s="13">
        <v>0</v>
      </c>
      <c r="E33" s="13">
        <v>1</v>
      </c>
      <c r="F33" s="14">
        <f t="shared" si="0"/>
        <v>2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>
        <v>0</v>
      </c>
      <c r="D34" s="13">
        <v>0</v>
      </c>
      <c r="E34" s="13">
        <v>1</v>
      </c>
      <c r="F34" s="14">
        <f t="shared" si="0"/>
        <v>1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>
        <v>0</v>
      </c>
      <c r="D35" s="13">
        <v>1</v>
      </c>
      <c r="E35" s="13">
        <v>0</v>
      </c>
      <c r="F35" s="14">
        <f t="shared" si="0"/>
        <v>1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>
        <v>1</v>
      </c>
      <c r="D36" s="13">
        <v>1</v>
      </c>
      <c r="E36" s="13">
        <v>4</v>
      </c>
      <c r="F36" s="14">
        <f t="shared" si="0"/>
        <v>6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>
        <v>1</v>
      </c>
      <c r="D37" s="13">
        <v>0</v>
      </c>
      <c r="E37" s="13">
        <v>0</v>
      </c>
      <c r="F37" s="14">
        <f t="shared" si="0"/>
        <v>1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>
        <v>0</v>
      </c>
      <c r="D38" s="13">
        <v>1</v>
      </c>
      <c r="E38" s="13">
        <v>8</v>
      </c>
      <c r="F38" s="14">
        <f t="shared" si="0"/>
        <v>9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>
        <v>0</v>
      </c>
      <c r="D39" s="13">
        <v>1</v>
      </c>
      <c r="E39" s="13">
        <v>6</v>
      </c>
      <c r="F39" s="14">
        <f t="shared" si="0"/>
        <v>7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25"/>
  <sheetViews>
    <sheetView topLeftCell="B1" zoomScaleNormal="100" workbookViewId="0">
      <selection activeCell="H3" sqref="H3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/>
    <row r="2" spans="1:16" ht="63.75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 s="20">
        <v>14009</v>
      </c>
      <c r="B3" s="20" t="s">
        <v>105</v>
      </c>
      <c r="C3" s="20" t="s">
        <v>87</v>
      </c>
      <c r="D3" s="20" t="s">
        <v>150</v>
      </c>
      <c r="E3" s="20" t="s">
        <v>151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 s="20">
        <v>14009</v>
      </c>
      <c r="B4" s="20" t="s">
        <v>105</v>
      </c>
      <c r="C4" s="20" t="s">
        <v>87</v>
      </c>
      <c r="D4" s="20" t="s">
        <v>152</v>
      </c>
      <c r="E4" s="20" t="s">
        <v>153</v>
      </c>
      <c r="F4" s="21" t="str">
        <f t="shared" si="0"/>
        <v>Voir sur Maps</v>
      </c>
      <c r="G4" s="22">
        <v>4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 s="20">
        <v>14024</v>
      </c>
      <c r="B5" s="20" t="s">
        <v>106</v>
      </c>
      <c r="C5" s="20" t="s">
        <v>87</v>
      </c>
      <c r="D5" s="20" t="s">
        <v>154</v>
      </c>
      <c r="E5" s="20" t="s">
        <v>155</v>
      </c>
      <c r="F5" s="21" t="str">
        <f t="shared" si="0"/>
        <v>Voir sur Maps</v>
      </c>
      <c r="G5" s="22">
        <v>4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 s="20">
        <v>14046</v>
      </c>
      <c r="B6" s="20" t="s">
        <v>107</v>
      </c>
      <c r="C6" s="20" t="s">
        <v>87</v>
      </c>
      <c r="D6" s="20" t="s">
        <v>156</v>
      </c>
      <c r="E6" s="20" t="s">
        <v>157</v>
      </c>
      <c r="F6" s="21" t="str">
        <f t="shared" si="0"/>
        <v>Voir sur Maps</v>
      </c>
      <c r="G6" s="22">
        <v>4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 s="20">
        <v>14046</v>
      </c>
      <c r="B7" s="20" t="s">
        <v>107</v>
      </c>
      <c r="C7" s="20" t="s">
        <v>87</v>
      </c>
      <c r="D7" s="20" t="s">
        <v>158</v>
      </c>
      <c r="E7" s="20" t="s">
        <v>159</v>
      </c>
      <c r="F7" s="21" t="str">
        <f t="shared" si="0"/>
        <v>Voir sur Maps</v>
      </c>
      <c r="G7" s="22">
        <v>4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 s="20">
        <v>14110</v>
      </c>
      <c r="B8" s="20" t="s">
        <v>102</v>
      </c>
      <c r="C8" s="20" t="s">
        <v>87</v>
      </c>
      <c r="D8" s="20" t="s">
        <v>160</v>
      </c>
      <c r="E8" s="20" t="s">
        <v>161</v>
      </c>
      <c r="F8" s="21" t="str">
        <f t="shared" si="0"/>
        <v>Voir sur Maps</v>
      </c>
      <c r="G8" s="22">
        <v>3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 s="20">
        <v>14117</v>
      </c>
      <c r="B9" s="20" t="s">
        <v>109</v>
      </c>
      <c r="C9" s="20" t="s">
        <v>87</v>
      </c>
      <c r="D9" s="20" t="s">
        <v>162</v>
      </c>
      <c r="E9" s="20" t="s">
        <v>163</v>
      </c>
      <c r="F9" s="21" t="str">
        <f t="shared" si="0"/>
        <v>Voir sur Maps</v>
      </c>
      <c r="G9" s="22"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 s="20">
        <v>14117</v>
      </c>
      <c r="B10" s="20" t="s">
        <v>109</v>
      </c>
      <c r="C10" s="20" t="s">
        <v>87</v>
      </c>
      <c r="D10" s="20" t="s">
        <v>164</v>
      </c>
      <c r="E10" s="20" t="s">
        <v>165</v>
      </c>
      <c r="F10" s="21" t="str">
        <f t="shared" si="0"/>
        <v>Voir sur Maps</v>
      </c>
      <c r="G10" s="22"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 s="20">
        <v>14225</v>
      </c>
      <c r="B11" s="20" t="s">
        <v>110</v>
      </c>
      <c r="C11" s="20" t="s">
        <v>87</v>
      </c>
      <c r="D11" s="20" t="s">
        <v>166</v>
      </c>
      <c r="E11" s="20" t="s">
        <v>167</v>
      </c>
      <c r="F11" s="21" t="str">
        <f t="shared" si="0"/>
        <v>Voir sur Maps</v>
      </c>
      <c r="G11" s="22"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 s="20">
        <v>14225</v>
      </c>
      <c r="B12" s="20" t="s">
        <v>110</v>
      </c>
      <c r="C12" s="20" t="s">
        <v>87</v>
      </c>
      <c r="D12" s="20" t="s">
        <v>168</v>
      </c>
      <c r="E12" s="20" t="s">
        <v>169</v>
      </c>
      <c r="F12" s="21" t="str">
        <f t="shared" si="0"/>
        <v>Voir sur Maps</v>
      </c>
      <c r="G12" s="22"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 s="20">
        <v>14225</v>
      </c>
      <c r="B13" s="20" t="s">
        <v>110</v>
      </c>
      <c r="C13" s="20" t="s">
        <v>87</v>
      </c>
      <c r="D13" s="20" t="s">
        <v>170</v>
      </c>
      <c r="E13" s="20" t="s">
        <v>171</v>
      </c>
      <c r="F13" s="21" t="str">
        <f t="shared" si="0"/>
        <v>Voir sur Maps</v>
      </c>
      <c r="G13" s="22"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 s="20">
        <v>14225</v>
      </c>
      <c r="B14" s="20" t="s">
        <v>110</v>
      </c>
      <c r="C14" s="20" t="s">
        <v>87</v>
      </c>
      <c r="D14" s="20" t="s">
        <v>172</v>
      </c>
      <c r="E14" s="20" t="s">
        <v>173</v>
      </c>
      <c r="F14" s="21" t="str">
        <f t="shared" si="0"/>
        <v>Voir sur Maps</v>
      </c>
      <c r="G14" s="22">
        <v>4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 s="20">
        <v>14229</v>
      </c>
      <c r="B15" s="20" t="s">
        <v>86</v>
      </c>
      <c r="C15" s="20" t="s">
        <v>87</v>
      </c>
      <c r="D15" s="20" t="s">
        <v>174</v>
      </c>
      <c r="E15" s="20" t="s">
        <v>175</v>
      </c>
      <c r="F15" s="21" t="str">
        <f t="shared" si="0"/>
        <v>Voir sur Maps</v>
      </c>
      <c r="G15" s="22">
        <v>1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 s="20">
        <v>14305</v>
      </c>
      <c r="B16" s="20" t="s">
        <v>88</v>
      </c>
      <c r="C16" s="20" t="s">
        <v>87</v>
      </c>
      <c r="D16" s="20" t="s">
        <v>176</v>
      </c>
      <c r="E16" s="20" t="s">
        <v>177</v>
      </c>
      <c r="F16" s="21" t="str">
        <f t="shared" si="0"/>
        <v>Voir sur Maps</v>
      </c>
      <c r="G16" s="22">
        <v>1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 s="20">
        <v>14409</v>
      </c>
      <c r="B17" s="20" t="s">
        <v>113</v>
      </c>
      <c r="C17" s="20" t="s">
        <v>87</v>
      </c>
      <c r="D17" s="20" t="s">
        <v>178</v>
      </c>
      <c r="E17" s="20" t="s">
        <v>179</v>
      </c>
      <c r="F17" s="21" t="str">
        <f t="shared" si="0"/>
        <v>Voir sur Maps</v>
      </c>
      <c r="G17" s="22"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 s="20">
        <v>14409</v>
      </c>
      <c r="B18" s="20" t="s">
        <v>113</v>
      </c>
      <c r="C18" s="20" t="s">
        <v>87</v>
      </c>
      <c r="D18" s="20" t="s">
        <v>180</v>
      </c>
      <c r="E18" s="20" t="s">
        <v>181</v>
      </c>
      <c r="F18" s="21" t="str">
        <f t="shared" si="0"/>
        <v>Voir sur Maps</v>
      </c>
      <c r="G18" s="22"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 s="20">
        <v>14409</v>
      </c>
      <c r="B19" s="20" t="s">
        <v>113</v>
      </c>
      <c r="C19" s="20" t="s">
        <v>87</v>
      </c>
      <c r="D19" s="20" t="s">
        <v>182</v>
      </c>
      <c r="E19" s="20" t="s">
        <v>183</v>
      </c>
      <c r="F19" s="21" t="str">
        <f t="shared" si="0"/>
        <v>Voir sur Maps</v>
      </c>
      <c r="G19" s="22"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 s="20">
        <v>14530</v>
      </c>
      <c r="B20" s="20" t="s">
        <v>114</v>
      </c>
      <c r="C20" s="20" t="s">
        <v>87</v>
      </c>
      <c r="D20" s="20" t="s">
        <v>184</v>
      </c>
      <c r="E20" s="20" t="s">
        <v>185</v>
      </c>
      <c r="F20" s="21" t="str">
        <f t="shared" si="0"/>
        <v>Voir sur Maps</v>
      </c>
      <c r="G20" s="22"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 s="20">
        <v>14550</v>
      </c>
      <c r="B21" s="20" t="s">
        <v>89</v>
      </c>
      <c r="C21" s="20" t="s">
        <v>87</v>
      </c>
      <c r="D21" s="20" t="s">
        <v>186</v>
      </c>
      <c r="E21" s="20" t="s">
        <v>187</v>
      </c>
      <c r="F21" s="21" t="str">
        <f t="shared" si="0"/>
        <v>Voir sur Maps</v>
      </c>
      <c r="G21" s="22"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 s="20">
        <v>14660</v>
      </c>
      <c r="B22" s="20" t="s">
        <v>116</v>
      </c>
      <c r="C22" s="20" t="s">
        <v>87</v>
      </c>
      <c r="D22" s="20" t="s">
        <v>188</v>
      </c>
      <c r="E22" s="20" t="s">
        <v>189</v>
      </c>
      <c r="F22" s="21" t="str">
        <f t="shared" si="0"/>
        <v>Voir sur Maps</v>
      </c>
      <c r="G22" s="22">
        <v>4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 s="20">
        <v>14665</v>
      </c>
      <c r="B23" s="20" t="s">
        <v>90</v>
      </c>
      <c r="C23" s="20" t="s">
        <v>87</v>
      </c>
      <c r="D23" s="20" t="s">
        <v>190</v>
      </c>
      <c r="E23" s="20" t="s">
        <v>191</v>
      </c>
      <c r="F23" s="21" t="str">
        <f t="shared" si="0"/>
        <v>Voir sur Maps</v>
      </c>
      <c r="G23" s="22">
        <v>1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 s="20">
        <v>14724</v>
      </c>
      <c r="B24" s="20" t="s">
        <v>117</v>
      </c>
      <c r="C24" s="20" t="s">
        <v>87</v>
      </c>
      <c r="D24" s="20" t="s">
        <v>192</v>
      </c>
      <c r="E24" s="20" t="s">
        <v>193</v>
      </c>
      <c r="F24" s="21" t="str">
        <f t="shared" si="0"/>
        <v>Voir sur Maps</v>
      </c>
      <c r="G24" s="22"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 s="20">
        <v>14743</v>
      </c>
      <c r="B25" s="20" t="s">
        <v>92</v>
      </c>
      <c r="C25" s="20" t="s">
        <v>87</v>
      </c>
      <c r="D25" s="20" t="s">
        <v>194</v>
      </c>
      <c r="E25" s="20" t="s">
        <v>195</v>
      </c>
      <c r="F25" s="21" t="str">
        <f t="shared" si="0"/>
        <v>Voir sur Maps</v>
      </c>
      <c r="G25" s="22">
        <v>1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 s="20">
        <v>14009</v>
      </c>
      <c r="B26" s="20" t="s">
        <v>105</v>
      </c>
      <c r="C26" s="25" t="s">
        <v>91</v>
      </c>
      <c r="D26" t="s">
        <v>196</v>
      </c>
      <c r="E26" t="s">
        <v>197</v>
      </c>
      <c r="F26" s="21" t="str">
        <f t="shared" si="0"/>
        <v>Voir sur Maps</v>
      </c>
      <c r="G26" s="22"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 s="20">
        <v>14227</v>
      </c>
      <c r="B27" s="20" t="s">
        <v>95</v>
      </c>
      <c r="C27" s="25" t="s">
        <v>91</v>
      </c>
      <c r="D27" t="s">
        <v>198</v>
      </c>
      <c r="E27" t="s">
        <v>199</v>
      </c>
      <c r="F27" s="21" t="str">
        <f t="shared" si="0"/>
        <v>Voir sur Maps</v>
      </c>
      <c r="G27" s="22">
        <v>2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 s="20">
        <v>14227</v>
      </c>
      <c r="B28" s="20" t="s">
        <v>95</v>
      </c>
      <c r="C28" s="25" t="s">
        <v>91</v>
      </c>
      <c r="D28" t="s">
        <v>200</v>
      </c>
      <c r="E28" t="s">
        <v>201</v>
      </c>
      <c r="F28" s="21" t="str">
        <f t="shared" si="0"/>
        <v>Voir sur Maps</v>
      </c>
      <c r="G28" s="22">
        <v>2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 s="20">
        <v>14524</v>
      </c>
      <c r="B29" s="20" t="s">
        <v>103</v>
      </c>
      <c r="C29" s="25" t="s">
        <v>91</v>
      </c>
      <c r="D29" t="s">
        <v>202</v>
      </c>
      <c r="E29" t="s">
        <v>203</v>
      </c>
      <c r="F29" s="21" t="str">
        <f t="shared" si="0"/>
        <v>Voir sur Maps</v>
      </c>
      <c r="G29" s="22">
        <v>3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 s="20">
        <v>14665</v>
      </c>
      <c r="B30" s="20" t="s">
        <v>90</v>
      </c>
      <c r="C30" s="25" t="s">
        <v>91</v>
      </c>
      <c r="D30" t="s">
        <v>204</v>
      </c>
      <c r="E30" t="s">
        <v>205</v>
      </c>
      <c r="F30" s="21" t="str">
        <f t="shared" si="0"/>
        <v>Voir sur Maps</v>
      </c>
      <c r="G30" s="22">
        <v>1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14045</v>
      </c>
      <c r="B31" t="s">
        <v>99</v>
      </c>
      <c r="C31" s="25" t="s">
        <v>85</v>
      </c>
      <c r="D31" t="s">
        <v>206</v>
      </c>
      <c r="E31" t="s">
        <v>207</v>
      </c>
      <c r="F31" s="21" t="str">
        <f t="shared" si="0"/>
        <v>Voir sur Maps</v>
      </c>
      <c r="G31" s="22">
        <v>3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14106</v>
      </c>
      <c r="B32" t="s">
        <v>108</v>
      </c>
      <c r="C32" s="25" t="s">
        <v>85</v>
      </c>
      <c r="D32" t="s">
        <v>208</v>
      </c>
      <c r="E32" t="s">
        <v>209</v>
      </c>
      <c r="F32" s="21" t="str">
        <f t="shared" si="0"/>
        <v>Voir sur Maps</v>
      </c>
      <c r="G32" s="22"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14198</v>
      </c>
      <c r="B33" t="s">
        <v>93</v>
      </c>
      <c r="C33" s="25" t="s">
        <v>85</v>
      </c>
      <c r="D33" t="s">
        <v>210</v>
      </c>
      <c r="E33" t="s">
        <v>211</v>
      </c>
      <c r="F33" s="21" t="str">
        <f t="shared" si="0"/>
        <v>Voir sur Maps</v>
      </c>
      <c r="G33" s="22">
        <v>2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14306</v>
      </c>
      <c r="B34" t="s">
        <v>96</v>
      </c>
      <c r="C34" s="25" t="s">
        <v>85</v>
      </c>
      <c r="D34" t="s">
        <v>212</v>
      </c>
      <c r="E34" t="s">
        <v>213</v>
      </c>
      <c r="F34" s="21" t="str">
        <f t="shared" si="0"/>
        <v>Voir sur Maps</v>
      </c>
      <c r="G34" s="22">
        <v>2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14225</v>
      </c>
      <c r="B35" t="s">
        <v>110</v>
      </c>
      <c r="C35" s="25" t="s">
        <v>85</v>
      </c>
      <c r="D35" t="s">
        <v>214</v>
      </c>
      <c r="E35" t="s">
        <v>215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v>4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14227</v>
      </c>
      <c r="B36" t="s">
        <v>95</v>
      </c>
      <c r="C36" s="25" t="s">
        <v>85</v>
      </c>
      <c r="D36" t="s">
        <v>216</v>
      </c>
      <c r="E36" t="s">
        <v>217</v>
      </c>
      <c r="F36" s="21" t="str">
        <f t="shared" si="1"/>
        <v>Voir sur Maps</v>
      </c>
      <c r="G36" s="22">
        <v>2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14227</v>
      </c>
      <c r="B37" t="s">
        <v>95</v>
      </c>
      <c r="C37" s="25" t="s">
        <v>85</v>
      </c>
      <c r="D37" t="s">
        <v>218</v>
      </c>
      <c r="E37" t="s">
        <v>219</v>
      </c>
      <c r="F37" s="21" t="str">
        <f t="shared" si="1"/>
        <v>Voir sur Maps</v>
      </c>
      <c r="G37" s="22">
        <v>2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14227</v>
      </c>
      <c r="B38" t="s">
        <v>95</v>
      </c>
      <c r="C38" s="25" t="s">
        <v>85</v>
      </c>
      <c r="D38" t="s">
        <v>220</v>
      </c>
      <c r="E38" t="s">
        <v>221</v>
      </c>
      <c r="F38" s="21" t="str">
        <f t="shared" si="1"/>
        <v>Voir sur Maps</v>
      </c>
      <c r="G38" s="22">
        <v>2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14306</v>
      </c>
      <c r="B39" t="s">
        <v>96</v>
      </c>
      <c r="C39" s="25" t="s">
        <v>85</v>
      </c>
      <c r="D39" t="s">
        <v>222</v>
      </c>
      <c r="E39" t="s">
        <v>223</v>
      </c>
      <c r="F39" s="21" t="str">
        <f t="shared" si="1"/>
        <v>Voir sur Maps</v>
      </c>
      <c r="G39" s="22">
        <v>2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14305</v>
      </c>
      <c r="B40" t="s">
        <v>88</v>
      </c>
      <c r="C40" s="25" t="s">
        <v>85</v>
      </c>
      <c r="D40" t="s">
        <v>224</v>
      </c>
      <c r="E40" t="s">
        <v>225</v>
      </c>
      <c r="F40" s="21" t="str">
        <f t="shared" si="1"/>
        <v>Voir sur Maps</v>
      </c>
      <c r="G40" s="22">
        <v>1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14305</v>
      </c>
      <c r="B41" t="s">
        <v>88</v>
      </c>
      <c r="C41" s="25" t="s">
        <v>85</v>
      </c>
      <c r="D41" t="s">
        <v>226</v>
      </c>
      <c r="E41" t="s">
        <v>227</v>
      </c>
      <c r="F41" s="21" t="str">
        <f t="shared" si="1"/>
        <v>Voir sur Maps</v>
      </c>
      <c r="G41" s="22">
        <v>1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14305</v>
      </c>
      <c r="B42" t="s">
        <v>88</v>
      </c>
      <c r="C42" s="25" t="s">
        <v>85</v>
      </c>
      <c r="D42" t="s">
        <v>228</v>
      </c>
      <c r="E42" t="s">
        <v>229</v>
      </c>
      <c r="F42" s="21" t="str">
        <f t="shared" si="1"/>
        <v>Voir sur Maps</v>
      </c>
      <c r="G42" s="22">
        <v>1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14305</v>
      </c>
      <c r="B43" t="s">
        <v>88</v>
      </c>
      <c r="C43" s="25" t="s">
        <v>85</v>
      </c>
      <c r="D43" t="s">
        <v>230</v>
      </c>
      <c r="E43" t="s">
        <v>231</v>
      </c>
      <c r="F43" s="21" t="str">
        <f t="shared" si="1"/>
        <v>Voir sur Maps</v>
      </c>
      <c r="G43" s="22">
        <v>1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14305</v>
      </c>
      <c r="B44" t="s">
        <v>88</v>
      </c>
      <c r="C44" s="25" t="s">
        <v>85</v>
      </c>
      <c r="D44" t="s">
        <v>232</v>
      </c>
      <c r="E44" t="s">
        <v>233</v>
      </c>
      <c r="F44" s="21" t="str">
        <f t="shared" si="1"/>
        <v>Voir sur Maps</v>
      </c>
      <c r="G44" s="22">
        <v>1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14305</v>
      </c>
      <c r="B45" t="s">
        <v>88</v>
      </c>
      <c r="C45" s="25" t="s">
        <v>85</v>
      </c>
      <c r="D45" t="s">
        <v>234</v>
      </c>
      <c r="E45" t="s">
        <v>235</v>
      </c>
      <c r="F45" s="21" t="str">
        <f t="shared" si="1"/>
        <v>Voir sur Maps</v>
      </c>
      <c r="G45" s="22">
        <v>1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14305</v>
      </c>
      <c r="B46" t="s">
        <v>88</v>
      </c>
      <c r="C46" s="25" t="s">
        <v>85</v>
      </c>
      <c r="D46" t="s">
        <v>236</v>
      </c>
      <c r="E46" t="s">
        <v>237</v>
      </c>
      <c r="F46" s="21" t="str">
        <f t="shared" si="1"/>
        <v>Voir sur Maps</v>
      </c>
      <c r="G46" s="22">
        <v>1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14203</v>
      </c>
      <c r="B47" t="s">
        <v>94</v>
      </c>
      <c r="C47" s="25" t="s">
        <v>85</v>
      </c>
      <c r="D47" t="s">
        <v>238</v>
      </c>
      <c r="E47" t="s">
        <v>239</v>
      </c>
      <c r="F47" s="21" t="str">
        <f t="shared" si="1"/>
        <v>Voir sur Maps</v>
      </c>
      <c r="G47" s="22">
        <v>2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14338</v>
      </c>
      <c r="B48" t="s">
        <v>112</v>
      </c>
      <c r="C48" s="25" t="s">
        <v>85</v>
      </c>
      <c r="D48" t="s">
        <v>240</v>
      </c>
      <c r="E48" t="s">
        <v>241</v>
      </c>
      <c r="F48" s="21" t="str">
        <f t="shared" si="1"/>
        <v>Voir sur Maps</v>
      </c>
      <c r="G48" s="22">
        <v>4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14338</v>
      </c>
      <c r="B49" t="s">
        <v>112</v>
      </c>
      <c r="C49" s="25" t="s">
        <v>85</v>
      </c>
      <c r="D49" t="s">
        <v>242</v>
      </c>
      <c r="E49" t="s">
        <v>243</v>
      </c>
      <c r="F49" s="21" t="str">
        <f t="shared" si="1"/>
        <v>Voir sur Maps</v>
      </c>
      <c r="G49" s="22">
        <v>4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14338</v>
      </c>
      <c r="B50" t="s">
        <v>112</v>
      </c>
      <c r="C50" s="25" t="s">
        <v>85</v>
      </c>
      <c r="D50" t="s">
        <v>244</v>
      </c>
      <c r="E50" t="s">
        <v>245</v>
      </c>
      <c r="F50" s="21" t="str">
        <f t="shared" si="1"/>
        <v>Voir sur Maps</v>
      </c>
      <c r="G50" s="22"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14338</v>
      </c>
      <c r="B51" t="s">
        <v>112</v>
      </c>
      <c r="C51" s="25" t="s">
        <v>85</v>
      </c>
      <c r="D51" t="s">
        <v>246</v>
      </c>
      <c r="E51" t="s">
        <v>247</v>
      </c>
      <c r="F51" s="21" t="str">
        <f t="shared" si="1"/>
        <v>Voir sur Maps</v>
      </c>
      <c r="G51" s="22">
        <v>4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14329</v>
      </c>
      <c r="B52" t="s">
        <v>111</v>
      </c>
      <c r="C52" s="25" t="s">
        <v>85</v>
      </c>
      <c r="D52" t="s">
        <v>248</v>
      </c>
      <c r="E52" t="s">
        <v>249</v>
      </c>
      <c r="F52" s="21" t="str">
        <f t="shared" si="1"/>
        <v>Voir sur Maps</v>
      </c>
      <c r="G52" s="22">
        <v>4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14530</v>
      </c>
      <c r="B53" t="s">
        <v>114</v>
      </c>
      <c r="C53" s="25" t="s">
        <v>85</v>
      </c>
      <c r="D53" t="s">
        <v>250</v>
      </c>
      <c r="E53" t="s">
        <v>251</v>
      </c>
      <c r="F53" s="21" t="str">
        <f t="shared" si="1"/>
        <v>Voir sur Maps</v>
      </c>
      <c r="G53" s="22">
        <v>4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14724</v>
      </c>
      <c r="B54" t="s">
        <v>117</v>
      </c>
      <c r="C54" s="25" t="s">
        <v>85</v>
      </c>
      <c r="D54" t="s">
        <v>252</v>
      </c>
      <c r="E54" t="s">
        <v>253</v>
      </c>
      <c r="F54" s="21" t="str">
        <f t="shared" si="1"/>
        <v>Voir sur Maps</v>
      </c>
      <c r="G54" s="22"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14009</v>
      </c>
      <c r="B55" t="s">
        <v>105</v>
      </c>
      <c r="C55" s="25" t="s">
        <v>85</v>
      </c>
      <c r="D55" t="s">
        <v>254</v>
      </c>
      <c r="E55" t="s">
        <v>255</v>
      </c>
      <c r="F55" s="21" t="str">
        <f t="shared" si="1"/>
        <v>Voir sur Maps</v>
      </c>
      <c r="G55" s="22"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14012</v>
      </c>
      <c r="B56" t="s">
        <v>84</v>
      </c>
      <c r="C56" s="25" t="s">
        <v>85</v>
      </c>
      <c r="D56" t="s">
        <v>256</v>
      </c>
      <c r="E56" t="s">
        <v>257</v>
      </c>
      <c r="F56" s="21" t="str">
        <f t="shared" si="1"/>
        <v>Voir sur Maps</v>
      </c>
      <c r="G56" s="22">
        <v>1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14024</v>
      </c>
      <c r="B57" t="s">
        <v>106</v>
      </c>
      <c r="C57" s="25" t="s">
        <v>85</v>
      </c>
      <c r="D57" t="s">
        <v>258</v>
      </c>
      <c r="E57" t="s">
        <v>259</v>
      </c>
      <c r="F57" s="21" t="str">
        <f t="shared" si="1"/>
        <v>Voir sur Maps</v>
      </c>
      <c r="G57" s="22">
        <v>4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14024</v>
      </c>
      <c r="B58" t="s">
        <v>106</v>
      </c>
      <c r="C58" s="25" t="s">
        <v>85</v>
      </c>
      <c r="D58" t="s">
        <v>260</v>
      </c>
      <c r="E58" t="s">
        <v>261</v>
      </c>
      <c r="F58" s="21" t="str">
        <f t="shared" si="1"/>
        <v>Voir sur Maps</v>
      </c>
      <c r="G58" s="22"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14231</v>
      </c>
      <c r="B59" t="s">
        <v>100</v>
      </c>
      <c r="C59" s="25" t="s">
        <v>85</v>
      </c>
      <c r="D59" t="s">
        <v>262</v>
      </c>
      <c r="E59" t="s">
        <v>263</v>
      </c>
      <c r="F59" s="21" t="str">
        <f t="shared" si="1"/>
        <v>Voir sur Maps</v>
      </c>
      <c r="G59" s="22">
        <v>3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14046</v>
      </c>
      <c r="B60" t="s">
        <v>107</v>
      </c>
      <c r="C60" s="25" t="s">
        <v>85</v>
      </c>
      <c r="D60" t="s">
        <v>264</v>
      </c>
      <c r="E60" t="s">
        <v>265</v>
      </c>
      <c r="F60" s="21" t="str">
        <f t="shared" si="1"/>
        <v>Voir sur Maps</v>
      </c>
      <c r="G60" s="22"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14070</v>
      </c>
      <c r="B61" t="s">
        <v>101</v>
      </c>
      <c r="C61" s="25" t="s">
        <v>85</v>
      </c>
      <c r="D61" t="s">
        <v>266</v>
      </c>
      <c r="E61" t="s">
        <v>267</v>
      </c>
      <c r="F61" s="21" t="str">
        <f t="shared" si="1"/>
        <v>Voir sur Maps</v>
      </c>
      <c r="G61" s="22">
        <v>3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14110</v>
      </c>
      <c r="B62" t="s">
        <v>102</v>
      </c>
      <c r="C62" s="25" t="s">
        <v>85</v>
      </c>
      <c r="D62" t="s">
        <v>268</v>
      </c>
      <c r="E62" t="s">
        <v>269</v>
      </c>
      <c r="F62" s="21" t="str">
        <f t="shared" si="1"/>
        <v>Voir sur Maps</v>
      </c>
      <c r="G62" s="22">
        <v>3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14110</v>
      </c>
      <c r="B63" t="s">
        <v>102</v>
      </c>
      <c r="C63" s="25" t="s">
        <v>85</v>
      </c>
      <c r="D63" t="s">
        <v>270</v>
      </c>
      <c r="E63" t="s">
        <v>271</v>
      </c>
      <c r="F63" s="21" t="str">
        <f t="shared" si="1"/>
        <v>Voir sur Maps</v>
      </c>
      <c r="G63" s="22">
        <v>3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14110</v>
      </c>
      <c r="B64" t="s">
        <v>102</v>
      </c>
      <c r="C64" s="25" t="s">
        <v>85</v>
      </c>
      <c r="D64" t="s">
        <v>272</v>
      </c>
      <c r="E64" t="s">
        <v>273</v>
      </c>
      <c r="F64" s="21" t="str">
        <f t="shared" si="1"/>
        <v>Voir sur Maps</v>
      </c>
      <c r="G64" s="22">
        <v>3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14117</v>
      </c>
      <c r="B65" t="s">
        <v>109</v>
      </c>
      <c r="C65" s="25" t="s">
        <v>85</v>
      </c>
      <c r="D65" t="s">
        <v>274</v>
      </c>
      <c r="E65" t="s">
        <v>275</v>
      </c>
      <c r="F65" s="21" t="str">
        <f t="shared" si="1"/>
        <v>Voir sur Maps</v>
      </c>
      <c r="G65" s="22">
        <v>4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14306</v>
      </c>
      <c r="B66" t="s">
        <v>96</v>
      </c>
      <c r="C66" s="25" t="s">
        <v>85</v>
      </c>
      <c r="D66" t="s">
        <v>276</v>
      </c>
      <c r="E66" t="s">
        <v>277</v>
      </c>
      <c r="F66" s="21" t="str">
        <f t="shared" si="1"/>
        <v>Voir sur Maps</v>
      </c>
      <c r="G66" s="22">
        <v>2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s="25" t="s">
        <v>85</v>
      </c>
      <c r="D67" t="s">
        <v>278</v>
      </c>
      <c r="E67" t="s">
        <v>279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s="25" t="s">
        <v>85</v>
      </c>
      <c r="D68" t="s">
        <v>280</v>
      </c>
      <c r="E68" t="s">
        <v>281</v>
      </c>
      <c r="F68" s="21" t="str">
        <f t="shared" si="2"/>
        <v>Voir sur Maps</v>
      </c>
      <c r="G68" s="22"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s="25" t="s">
        <v>85</v>
      </c>
      <c r="D69" t="s">
        <v>282</v>
      </c>
      <c r="E69" t="s">
        <v>283</v>
      </c>
      <c r="F69" s="21" t="str">
        <f t="shared" si="2"/>
        <v>Voir sur Maps</v>
      </c>
      <c r="G69" s="22"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14409</v>
      </c>
      <c r="B70" t="s">
        <v>113</v>
      </c>
      <c r="C70" s="25" t="s">
        <v>85</v>
      </c>
      <c r="D70" t="s">
        <v>284</v>
      </c>
      <c r="E70" t="s">
        <v>285</v>
      </c>
      <c r="F70" s="21" t="str">
        <f t="shared" si="2"/>
        <v>Voir sur Maps</v>
      </c>
      <c r="G70" s="22">
        <v>4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14338</v>
      </c>
      <c r="B71" t="s">
        <v>112</v>
      </c>
      <c r="C71" s="25" t="s">
        <v>85</v>
      </c>
      <c r="D71" t="s">
        <v>286</v>
      </c>
      <c r="E71" t="s">
        <v>287</v>
      </c>
      <c r="F71" s="21" t="str">
        <f t="shared" si="2"/>
        <v>Voir sur Maps</v>
      </c>
      <c r="G71" s="22">
        <v>4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14530</v>
      </c>
      <c r="B72" t="s">
        <v>114</v>
      </c>
      <c r="C72" s="25" t="s">
        <v>85</v>
      </c>
      <c r="D72" t="s">
        <v>288</v>
      </c>
      <c r="E72" t="s">
        <v>289</v>
      </c>
      <c r="F72" s="21" t="str">
        <f t="shared" si="2"/>
        <v>Voir sur Maps</v>
      </c>
      <c r="G72" s="22">
        <v>4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14550</v>
      </c>
      <c r="B73" t="s">
        <v>89</v>
      </c>
      <c r="C73" s="25" t="s">
        <v>85</v>
      </c>
      <c r="D73" t="s">
        <v>290</v>
      </c>
      <c r="E73" t="s">
        <v>291</v>
      </c>
      <c r="F73" s="21" t="str">
        <f t="shared" si="2"/>
        <v>Voir sur Maps</v>
      </c>
      <c r="G73" s="22"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14046</v>
      </c>
      <c r="B74" t="s">
        <v>107</v>
      </c>
      <c r="C74" s="25" t="s">
        <v>85</v>
      </c>
      <c r="D74" t="s">
        <v>292</v>
      </c>
      <c r="E74" t="s">
        <v>293</v>
      </c>
      <c r="F74" s="21" t="str">
        <f t="shared" si="2"/>
        <v>Voir sur Maps</v>
      </c>
      <c r="G74" s="22">
        <v>4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14743</v>
      </c>
      <c r="B75" t="s">
        <v>92</v>
      </c>
      <c r="C75" s="25" t="s">
        <v>85</v>
      </c>
      <c r="D75" t="s">
        <v>294</v>
      </c>
      <c r="E75" t="s">
        <v>295</v>
      </c>
      <c r="F75" s="21" t="str">
        <f t="shared" si="2"/>
        <v>Voir sur Maps</v>
      </c>
      <c r="G75" s="22"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14743</v>
      </c>
      <c r="B76" t="s">
        <v>92</v>
      </c>
      <c r="C76" s="25" t="s">
        <v>85</v>
      </c>
      <c r="D76" t="s">
        <v>296</v>
      </c>
      <c r="E76" t="s">
        <v>297</v>
      </c>
      <c r="F76" s="21" t="str">
        <f t="shared" si="2"/>
        <v>Voir sur Maps</v>
      </c>
      <c r="G76" s="22"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14743</v>
      </c>
      <c r="B77" t="s">
        <v>92</v>
      </c>
      <c r="C77" s="25" t="s">
        <v>85</v>
      </c>
      <c r="D77" t="s">
        <v>298</v>
      </c>
      <c r="E77" t="s">
        <v>299</v>
      </c>
      <c r="F77" s="21" t="str">
        <f t="shared" si="2"/>
        <v>Voir sur Maps</v>
      </c>
      <c r="G77" s="22"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14117</v>
      </c>
      <c r="B78" t="s">
        <v>109</v>
      </c>
      <c r="C78" s="25" t="s">
        <v>85</v>
      </c>
      <c r="D78" t="s">
        <v>300</v>
      </c>
      <c r="E78" t="s">
        <v>301</v>
      </c>
      <c r="F78" s="21" t="str">
        <f t="shared" si="2"/>
        <v>Voir sur Maps</v>
      </c>
      <c r="G78" s="22">
        <v>4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14665</v>
      </c>
      <c r="B79" t="s">
        <v>90</v>
      </c>
      <c r="C79" s="25" t="s">
        <v>85</v>
      </c>
      <c r="D79" t="s">
        <v>302</v>
      </c>
      <c r="E79" t="s">
        <v>303</v>
      </c>
      <c r="F79" s="21" t="str">
        <f t="shared" si="2"/>
        <v>Voir sur Maps</v>
      </c>
      <c r="G79" s="22">
        <v>1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14046</v>
      </c>
      <c r="B80" t="s">
        <v>107</v>
      </c>
      <c r="C80" s="25" t="s">
        <v>85</v>
      </c>
      <c r="D80" t="s">
        <v>304</v>
      </c>
      <c r="E80" t="s">
        <v>305</v>
      </c>
      <c r="F80" s="21" t="str">
        <f t="shared" si="2"/>
        <v>Voir sur Maps</v>
      </c>
      <c r="G80" s="22">
        <v>4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14046</v>
      </c>
      <c r="B81" t="s">
        <v>107</v>
      </c>
      <c r="C81" s="25" t="s">
        <v>85</v>
      </c>
      <c r="D81" t="s">
        <v>306</v>
      </c>
      <c r="E81" t="s">
        <v>307</v>
      </c>
      <c r="F81" s="21" t="str">
        <f t="shared" si="2"/>
        <v>Voir sur Maps</v>
      </c>
      <c r="G81" s="22">
        <v>4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14070</v>
      </c>
      <c r="B82" t="s">
        <v>101</v>
      </c>
      <c r="C82" s="25" t="s">
        <v>85</v>
      </c>
      <c r="D82" t="s">
        <v>308</v>
      </c>
      <c r="E82" t="s">
        <v>309</v>
      </c>
      <c r="F82" s="21" t="str">
        <f t="shared" si="2"/>
        <v>Voir sur Maps</v>
      </c>
      <c r="G82" s="22">
        <v>3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14225</v>
      </c>
      <c r="B83" t="s">
        <v>110</v>
      </c>
      <c r="C83" s="25" t="s">
        <v>85</v>
      </c>
      <c r="D83" t="s">
        <v>310</v>
      </c>
      <c r="E83" t="s">
        <v>311</v>
      </c>
      <c r="F83" s="21" t="str">
        <f t="shared" si="2"/>
        <v>Voir sur Maps</v>
      </c>
      <c r="G83" s="22">
        <v>4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14229</v>
      </c>
      <c r="B84" t="s">
        <v>86</v>
      </c>
      <c r="C84" s="25" t="s">
        <v>85</v>
      </c>
      <c r="D84" t="s">
        <v>312</v>
      </c>
      <c r="E84" t="s">
        <v>313</v>
      </c>
      <c r="F84" s="21" t="str">
        <f t="shared" si="2"/>
        <v>Voir sur Maps</v>
      </c>
      <c r="G84" s="22"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14229</v>
      </c>
      <c r="B85" t="s">
        <v>86</v>
      </c>
      <c r="C85" s="25" t="s">
        <v>85</v>
      </c>
      <c r="D85" t="s">
        <v>314</v>
      </c>
      <c r="E85" t="s">
        <v>315</v>
      </c>
      <c r="F85" s="21" t="str">
        <f t="shared" si="2"/>
        <v>Voir sur Maps</v>
      </c>
      <c r="G85" s="22"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s="25" t="s">
        <v>85</v>
      </c>
      <c r="D86" t="s">
        <v>316</v>
      </c>
      <c r="E86" t="s">
        <v>317</v>
      </c>
      <c r="F86" s="21" t="str">
        <f t="shared" si="2"/>
        <v>Voir sur Maps</v>
      </c>
      <c r="G86" s="22"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s="25" t="s">
        <v>85</v>
      </c>
      <c r="D87" t="s">
        <v>318</v>
      </c>
      <c r="E87" t="s">
        <v>319</v>
      </c>
      <c r="F87" s="21" t="str">
        <f t="shared" si="2"/>
        <v>Voir sur Maps</v>
      </c>
      <c r="G87" s="22"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14316</v>
      </c>
      <c r="B88" t="s">
        <v>98</v>
      </c>
      <c r="C88" s="25" t="s">
        <v>85</v>
      </c>
      <c r="D88" t="s">
        <v>320</v>
      </c>
      <c r="E88" t="s">
        <v>321</v>
      </c>
      <c r="F88" s="21" t="str">
        <f t="shared" si="2"/>
        <v>Voir sur Maps</v>
      </c>
      <c r="G88" s="22"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14308</v>
      </c>
      <c r="B89" t="s">
        <v>97</v>
      </c>
      <c r="C89" s="25" t="s">
        <v>85</v>
      </c>
      <c r="D89" t="s">
        <v>322</v>
      </c>
      <c r="E89" t="s">
        <v>323</v>
      </c>
      <c r="F89" s="21" t="str">
        <f t="shared" si="2"/>
        <v>Voir sur Maps</v>
      </c>
      <c r="G89" s="22"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14724</v>
      </c>
      <c r="B90" t="s">
        <v>117</v>
      </c>
      <c r="C90" s="25" t="s">
        <v>85</v>
      </c>
      <c r="D90" t="s">
        <v>324</v>
      </c>
      <c r="E90" t="s">
        <v>325</v>
      </c>
      <c r="F90" s="21" t="str">
        <f t="shared" si="2"/>
        <v>Voir sur Maps</v>
      </c>
      <c r="G90" s="22">
        <v>4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14724</v>
      </c>
      <c r="B91" t="s">
        <v>117</v>
      </c>
      <c r="C91" s="25" t="s">
        <v>85</v>
      </c>
      <c r="D91" t="s">
        <v>326</v>
      </c>
      <c r="E91" t="s">
        <v>327</v>
      </c>
      <c r="F91" s="21" t="str">
        <f t="shared" si="2"/>
        <v>Voir sur Maps</v>
      </c>
      <c r="G91" s="22">
        <v>4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14229</v>
      </c>
      <c r="B92" t="s">
        <v>86</v>
      </c>
      <c r="C92" s="25" t="s">
        <v>85</v>
      </c>
      <c r="D92" t="s">
        <v>328</v>
      </c>
      <c r="E92" t="s">
        <v>329</v>
      </c>
      <c r="F92" s="21" t="str">
        <f t="shared" si="2"/>
        <v>Voir sur Maps</v>
      </c>
      <c r="G92" s="22">
        <v>1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14665</v>
      </c>
      <c r="B93" t="s">
        <v>90</v>
      </c>
      <c r="C93" s="25" t="s">
        <v>85</v>
      </c>
      <c r="F93" s="21" t="str">
        <f t="shared" si="2"/>
        <v>Voir sur Maps</v>
      </c>
      <c r="G93" s="22">
        <v>1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14229</v>
      </c>
      <c r="B94" t="s">
        <v>86</v>
      </c>
      <c r="C94" s="25" t="s">
        <v>85</v>
      </c>
      <c r="D94" t="s">
        <v>330</v>
      </c>
      <c r="E94" t="s">
        <v>331</v>
      </c>
      <c r="F94" s="21" t="str">
        <f t="shared" si="2"/>
        <v>Voir sur Maps</v>
      </c>
      <c r="G94" s="22">
        <v>1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14012</v>
      </c>
      <c r="B95" t="s">
        <v>84</v>
      </c>
      <c r="C95" s="25" t="s">
        <v>85</v>
      </c>
      <c r="D95" t="s">
        <v>332</v>
      </c>
      <c r="E95" t="s">
        <v>333</v>
      </c>
      <c r="F95" s="21" t="str">
        <f t="shared" si="2"/>
        <v>Voir sur Maps</v>
      </c>
      <c r="G95" s="22">
        <v>1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14012</v>
      </c>
      <c r="B96" t="s">
        <v>84</v>
      </c>
      <c r="C96" s="25" t="s">
        <v>85</v>
      </c>
      <c r="D96" t="s">
        <v>334</v>
      </c>
      <c r="E96" t="s">
        <v>335</v>
      </c>
      <c r="F96" s="21" t="str">
        <f t="shared" si="2"/>
        <v>Voir sur Maps</v>
      </c>
      <c r="G96" s="22">
        <v>1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14046</v>
      </c>
      <c r="B97" t="s">
        <v>107</v>
      </c>
      <c r="C97" s="25" t="s">
        <v>85</v>
      </c>
      <c r="D97" t="s">
        <v>336</v>
      </c>
      <c r="E97" t="s">
        <v>337</v>
      </c>
      <c r="F97" s="21" t="str">
        <f t="shared" si="2"/>
        <v>Voir sur Maps</v>
      </c>
      <c r="G97" s="22"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14046</v>
      </c>
      <c r="B98" t="s">
        <v>107</v>
      </c>
      <c r="C98" s="25" t="s">
        <v>85</v>
      </c>
      <c r="D98" t="s">
        <v>338</v>
      </c>
      <c r="E98" t="s">
        <v>339</v>
      </c>
      <c r="F98" s="21" t="str">
        <f t="shared" si="2"/>
        <v>Voir sur Maps</v>
      </c>
      <c r="G98" s="22"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14225</v>
      </c>
      <c r="B99" t="s">
        <v>110</v>
      </c>
      <c r="C99" s="25" t="s">
        <v>85</v>
      </c>
      <c r="D99" t="s">
        <v>340</v>
      </c>
      <c r="E99" t="s">
        <v>341</v>
      </c>
      <c r="F99" s="21" t="str">
        <f t="shared" ref="F99:F125" si="3">+IFERROR(HYPERLINK("https://www.google.com/maps/search/?api=1&amp;query="&amp;D99&amp;","&amp;E99,"Voir sur Maps"),"")</f>
        <v>Voir sur Maps</v>
      </c>
      <c r="G99" s="22"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14225</v>
      </c>
      <c r="B100" t="s">
        <v>110</v>
      </c>
      <c r="C100" s="25" t="s">
        <v>85</v>
      </c>
      <c r="D100" t="s">
        <v>342</v>
      </c>
      <c r="E100" t="s">
        <v>343</v>
      </c>
      <c r="F100" s="21" t="str">
        <f t="shared" si="3"/>
        <v>Voir sur Maps</v>
      </c>
      <c r="G100" s="22"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14308</v>
      </c>
      <c r="B101" t="s">
        <v>97</v>
      </c>
      <c r="C101" s="25" t="s">
        <v>85</v>
      </c>
      <c r="D101" t="s">
        <v>344</v>
      </c>
      <c r="E101" t="s">
        <v>345</v>
      </c>
      <c r="F101" s="21" t="str">
        <f t="shared" si="3"/>
        <v>Voir sur Maps</v>
      </c>
      <c r="G101" s="22">
        <v>2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14316</v>
      </c>
      <c r="B102" t="s">
        <v>98</v>
      </c>
      <c r="C102" s="25" t="s">
        <v>85</v>
      </c>
      <c r="D102" t="s">
        <v>346</v>
      </c>
      <c r="E102" t="s">
        <v>347</v>
      </c>
      <c r="F102" s="21" t="str">
        <f t="shared" si="3"/>
        <v>Voir sur Maps</v>
      </c>
      <c r="G102" s="22">
        <v>2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14665</v>
      </c>
      <c r="B103" t="s">
        <v>90</v>
      </c>
      <c r="C103" s="25" t="s">
        <v>85</v>
      </c>
      <c r="D103" t="s">
        <v>348</v>
      </c>
      <c r="E103" t="s">
        <v>349</v>
      </c>
      <c r="F103" s="21" t="str">
        <f t="shared" si="3"/>
        <v>Voir sur Maps</v>
      </c>
      <c r="G103" s="22">
        <v>1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14724</v>
      </c>
      <c r="B104" t="s">
        <v>117</v>
      </c>
      <c r="C104" s="25" t="s">
        <v>85</v>
      </c>
      <c r="D104" t="s">
        <v>350</v>
      </c>
      <c r="E104" t="s">
        <v>351</v>
      </c>
      <c r="F104" s="21" t="str">
        <f t="shared" si="3"/>
        <v>Voir sur Maps</v>
      </c>
      <c r="G104" s="22"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14308</v>
      </c>
      <c r="B105" t="s">
        <v>97</v>
      </c>
      <c r="C105" s="25" t="s">
        <v>85</v>
      </c>
      <c r="D105" t="s">
        <v>322</v>
      </c>
      <c r="E105" t="s">
        <v>323</v>
      </c>
      <c r="F105" s="21" t="str">
        <f t="shared" si="3"/>
        <v>Voir sur Maps</v>
      </c>
      <c r="G105" s="22">
        <v>2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14598</v>
      </c>
      <c r="B106" t="s">
        <v>104</v>
      </c>
      <c r="C106" s="25" t="s">
        <v>85</v>
      </c>
      <c r="D106" t="s">
        <v>352</v>
      </c>
      <c r="E106" t="s">
        <v>353</v>
      </c>
      <c r="F106" s="21" t="str">
        <f t="shared" si="3"/>
        <v>Voir sur Maps</v>
      </c>
      <c r="G106" s="22">
        <v>3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14024</v>
      </c>
      <c r="B107" t="s">
        <v>106</v>
      </c>
      <c r="C107" s="25" t="s">
        <v>85</v>
      </c>
      <c r="D107" t="s">
        <v>354</v>
      </c>
      <c r="E107" t="s">
        <v>355</v>
      </c>
      <c r="F107" s="21" t="str">
        <f t="shared" si="3"/>
        <v>Voir sur Maps</v>
      </c>
      <c r="G107" s="22"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14198</v>
      </c>
      <c r="B108" t="s">
        <v>93</v>
      </c>
      <c r="C108" s="25" t="s">
        <v>85</v>
      </c>
      <c r="D108" t="s">
        <v>356</v>
      </c>
      <c r="E108" t="s">
        <v>357</v>
      </c>
      <c r="F108" s="21" t="str">
        <f t="shared" si="3"/>
        <v>Voir sur Maps</v>
      </c>
      <c r="G108" s="22">
        <v>2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14229</v>
      </c>
      <c r="B109" t="s">
        <v>86</v>
      </c>
      <c r="C109" s="25" t="s">
        <v>85</v>
      </c>
      <c r="D109" t="s">
        <v>358</v>
      </c>
      <c r="E109" t="s">
        <v>359</v>
      </c>
      <c r="F109" s="21" t="str">
        <f t="shared" si="3"/>
        <v>Voir sur Maps</v>
      </c>
      <c r="G109" s="22">
        <v>1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14229</v>
      </c>
      <c r="B110" t="s">
        <v>86</v>
      </c>
      <c r="C110" s="25" t="s">
        <v>85</v>
      </c>
      <c r="D110" t="s">
        <v>360</v>
      </c>
      <c r="E110" t="s">
        <v>361</v>
      </c>
      <c r="F110" s="21" t="str">
        <f t="shared" si="3"/>
        <v>Voir sur Maps</v>
      </c>
      <c r="G110" s="22">
        <v>1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14229</v>
      </c>
      <c r="B111" t="s">
        <v>86</v>
      </c>
      <c r="C111" s="25" t="s">
        <v>85</v>
      </c>
      <c r="D111" t="s">
        <v>362</v>
      </c>
      <c r="E111" t="s">
        <v>363</v>
      </c>
      <c r="F111" s="21" t="str">
        <f t="shared" si="3"/>
        <v>Voir sur Maps</v>
      </c>
      <c r="G111" s="22">
        <v>1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14305</v>
      </c>
      <c r="B112" t="s">
        <v>88</v>
      </c>
      <c r="C112" s="25" t="s">
        <v>85</v>
      </c>
      <c r="D112" t="s">
        <v>364</v>
      </c>
      <c r="E112" t="s">
        <v>365</v>
      </c>
      <c r="F112" s="21" t="str">
        <f t="shared" si="3"/>
        <v>Voir sur Maps</v>
      </c>
      <c r="G112" s="22">
        <v>1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14316</v>
      </c>
      <c r="B113" t="s">
        <v>98</v>
      </c>
      <c r="C113" s="25" t="s">
        <v>85</v>
      </c>
      <c r="D113" t="s">
        <v>366</v>
      </c>
      <c r="E113" t="s">
        <v>367</v>
      </c>
      <c r="F113" s="21" t="str">
        <f t="shared" si="3"/>
        <v>Voir sur Maps</v>
      </c>
      <c r="G113" s="22">
        <v>2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14338</v>
      </c>
      <c r="B114" t="s">
        <v>112</v>
      </c>
      <c r="C114" s="25" t="s">
        <v>85</v>
      </c>
      <c r="D114" t="s">
        <v>368</v>
      </c>
      <c r="E114" t="s">
        <v>369</v>
      </c>
      <c r="F114" s="21" t="str">
        <f t="shared" si="3"/>
        <v>Voir sur Maps</v>
      </c>
      <c r="G114" s="22">
        <v>4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14338</v>
      </c>
      <c r="B115" t="s">
        <v>112</v>
      </c>
      <c r="C115" s="25" t="s">
        <v>85</v>
      </c>
      <c r="D115" t="s">
        <v>370</v>
      </c>
      <c r="E115" t="s">
        <v>371</v>
      </c>
      <c r="F115" s="21" t="str">
        <f t="shared" si="3"/>
        <v>Voir sur Maps</v>
      </c>
      <c r="G115" s="22">
        <v>4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14338</v>
      </c>
      <c r="B116" t="s">
        <v>112</v>
      </c>
      <c r="C116" s="25" t="s">
        <v>85</v>
      </c>
      <c r="D116" t="s">
        <v>372</v>
      </c>
      <c r="E116" t="s">
        <v>373</v>
      </c>
      <c r="F116" s="21" t="str">
        <f t="shared" si="3"/>
        <v>Voir sur Maps</v>
      </c>
      <c r="G116" s="22">
        <v>4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14338</v>
      </c>
      <c r="B117" t="s">
        <v>112</v>
      </c>
      <c r="C117" s="25" t="s">
        <v>85</v>
      </c>
      <c r="D117" t="s">
        <v>374</v>
      </c>
      <c r="E117" t="s">
        <v>375</v>
      </c>
      <c r="F117" s="21" t="str">
        <f t="shared" si="3"/>
        <v>Voir sur Maps</v>
      </c>
      <c r="G117" s="22">
        <v>4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14338</v>
      </c>
      <c r="B118" t="s">
        <v>112</v>
      </c>
      <c r="C118" s="25" t="s">
        <v>85</v>
      </c>
      <c r="D118" t="s">
        <v>376</v>
      </c>
      <c r="E118" t="s">
        <v>377</v>
      </c>
      <c r="F118" s="21" t="str">
        <f t="shared" si="3"/>
        <v>Voir sur Maps</v>
      </c>
      <c r="G118" s="22"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14338</v>
      </c>
      <c r="B119" t="s">
        <v>112</v>
      </c>
      <c r="C119" s="25" t="s">
        <v>85</v>
      </c>
      <c r="D119" t="s">
        <v>378</v>
      </c>
      <c r="E119" t="s">
        <v>379</v>
      </c>
      <c r="F119" s="21" t="str">
        <f t="shared" si="3"/>
        <v>Voir sur Maps</v>
      </c>
      <c r="G119" s="22"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14598</v>
      </c>
      <c r="B120" t="s">
        <v>104</v>
      </c>
      <c r="C120" s="25" t="s">
        <v>85</v>
      </c>
      <c r="D120" t="s">
        <v>380</v>
      </c>
      <c r="E120" t="s">
        <v>381</v>
      </c>
      <c r="F120" s="21" t="str">
        <f t="shared" si="3"/>
        <v>Voir sur Maps</v>
      </c>
      <c r="G120" s="22">
        <v>3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14550</v>
      </c>
      <c r="B121" t="s">
        <v>89</v>
      </c>
      <c r="C121" s="25" t="s">
        <v>85</v>
      </c>
      <c r="D121" t="s">
        <v>382</v>
      </c>
      <c r="E121" t="s">
        <v>383</v>
      </c>
      <c r="F121" s="21" t="str">
        <f t="shared" si="3"/>
        <v>Voir sur Maps</v>
      </c>
      <c r="G121" s="22"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14606</v>
      </c>
      <c r="B122" t="s">
        <v>115</v>
      </c>
      <c r="C122" s="25" t="s">
        <v>85</v>
      </c>
      <c r="D122" t="s">
        <v>384</v>
      </c>
      <c r="E122" t="s">
        <v>385</v>
      </c>
      <c r="F122" s="21" t="str">
        <f t="shared" si="3"/>
        <v>Voir sur Maps</v>
      </c>
      <c r="G122" s="22">
        <v>4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14724</v>
      </c>
      <c r="B123" t="s">
        <v>117</v>
      </c>
      <c r="C123" s="25" t="s">
        <v>85</v>
      </c>
      <c r="D123" t="s">
        <v>386</v>
      </c>
      <c r="E123" t="s">
        <v>387</v>
      </c>
      <c r="F123" s="21" t="str">
        <f t="shared" si="3"/>
        <v>Voir sur Maps</v>
      </c>
      <c r="G123" s="22">
        <v>4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s="25" t="s">
        <v>85</v>
      </c>
      <c r="D124" t="s">
        <v>388</v>
      </c>
      <c r="E124" t="s">
        <v>389</v>
      </c>
      <c r="F124" s="21" t="str">
        <f t="shared" si="3"/>
        <v>Voir sur Maps</v>
      </c>
      <c r="G124" s="22"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14225</v>
      </c>
      <c r="B125" t="s">
        <v>110</v>
      </c>
      <c r="C125" s="25" t="s">
        <v>85</v>
      </c>
      <c r="D125" t="s">
        <v>390</v>
      </c>
      <c r="E125" t="s">
        <v>391</v>
      </c>
      <c r="F125" s="21" t="str">
        <f t="shared" si="3"/>
        <v>Voir sur Maps</v>
      </c>
      <c r="G125" s="22"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</sheetData>
  <dataValidations count="5">
    <dataValidation type="list" allowBlank="1" sqref="I3:I125" xr:uid="{00000000-0002-0000-0200-000000000000}">
      <formula1>"À valider,Validé"</formula1>
      <formula2>0</formula2>
    </dataValidation>
    <dataValidation type="list" allowBlank="1" sqref="J3:J125" xr:uid="{00000000-0002-0000-0200-000001000000}">
      <formula1>"Non déposée,Déposée,Récépissés reçus,Réseau détecté,Calé"</formula1>
      <formula2>0</formula2>
    </dataValidation>
    <dataValidation type="list" allowBlank="1" sqref="K3:K125" xr:uid="{00000000-0002-0000-0200-000002000000}">
      <formula1>"En attente,RAS,Réseau dans l'emprise"</formula1>
      <formula2>0</formula2>
    </dataValidation>
    <dataValidation type="list" allowBlank="1" sqref="L3:L125" xr:uid="{00000000-0002-0000-0200-000003000000}">
      <formula1>"Non,Demandé,Obtenu"</formula1>
      <formula2>0</formula2>
    </dataValidation>
    <dataValidation type="list" allowBlank="1" sqref="M3:M125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692CF-7D52-48E3-AAA4-5B81FCB10F0A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RETROPLANNING_VISUEL</vt:lpstr>
      <vt:lpstr>RETROPLANNING</vt:lpstr>
      <vt:lpstr>SYNTHESE_TRAVAUX</vt:lpstr>
      <vt:lpstr>CHANTIERS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2026-07-08T14:32:16Z</dcterms:modified>
  <cp:category/>
  <cp:contentStatus/>
</cp:coreProperties>
</file>