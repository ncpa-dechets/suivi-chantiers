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.marti\Documents\GitHub\suivi-chantiers\"/>
    </mc:Choice>
  </mc:AlternateContent>
  <xr:revisionPtr revIDLastSave="0" documentId="13_ncr:1_{E322ADFE-4D75-4AE5-ACC8-0E7DA049AB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DD_SUIVI_CHANTIERS" sheetId="10" r:id="rId1"/>
    <sheet name="PRIORISATION-1" sheetId="12" r:id="rId2"/>
    <sheet name="PRIORISATION-ETAT" sheetId="14" r:id="rId3"/>
    <sheet name="PRESENTATION" sheetId="13" r:id="rId4"/>
    <sheet name="CHANTIERS" sheetId="3" r:id="rId5"/>
    <sheet name="RETROPLANNING_VISUEL" sheetId="4" r:id="rId6"/>
    <sheet name="RETROPLANNING" sheetId="1" r:id="rId7"/>
    <sheet name="SYNTHESE_TRAVAUX" sheetId="2" r:id="rId8"/>
    <sheet name="Feuil1" sheetId="11" r:id="rId9"/>
  </sheets>
  <externalReferences>
    <externalReference r:id="rId10"/>
  </externalReferences>
  <definedNames>
    <definedName name="_xlnm._FilterDatabase" localSheetId="8" hidden="1">Feuil1!$D$2:$F$2</definedName>
    <definedName name="_xlnm._FilterDatabase" localSheetId="1" hidden="1">'PRIORISATION-1'!$A$23:$I$61</definedName>
    <definedName name="DonnéesExternes_2" localSheetId="0" hidden="1">BDD_SUIVI_CHANTIERS!$A$1:$G$143</definedName>
    <definedName name="_xlnm.Print_Titles" localSheetId="5">RETROPLANNING_VISUEL!$5:$6</definedName>
    <definedName name="Segment_Nom_commune">#N/A</definedName>
    <definedName name="Segment_Type_chantier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4" l="1" a="1"/>
  <c r="A1" i="14" s="1"/>
  <c r="A6" i="13" a="1"/>
  <c r="A6" i="13" s="1"/>
  <c r="D25" i="12" l="1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24" i="12"/>
  <c r="H31" i="12" l="1" a="1"/>
  <c r="H31" i="12" s="1"/>
  <c r="G31" i="12" s="1"/>
  <c r="H47" i="12" a="1"/>
  <c r="H47" i="12" s="1"/>
  <c r="G47" i="12" s="1"/>
  <c r="H52" i="12" a="1"/>
  <c r="H52" i="12" s="1"/>
  <c r="H36" i="12" a="1"/>
  <c r="H36" i="12" s="1"/>
  <c r="H46" i="12" a="1"/>
  <c r="H46" i="12" s="1"/>
  <c r="H30" i="12" a="1"/>
  <c r="H30" i="12" s="1"/>
  <c r="H60" i="12" a="1"/>
  <c r="H60" i="12" s="1"/>
  <c r="H44" i="12" a="1"/>
  <c r="H44" i="12" s="1"/>
  <c r="H28" i="12" a="1"/>
  <c r="H28" i="12" s="1"/>
  <c r="H59" i="12" a="1"/>
  <c r="H59" i="12" s="1"/>
  <c r="H43" i="12" a="1"/>
  <c r="H43" i="12" s="1"/>
  <c r="H27" i="12" a="1"/>
  <c r="H27" i="12" s="1"/>
  <c r="H54" i="12" a="1"/>
  <c r="H54" i="12" s="1"/>
  <c r="H38" i="12" a="1"/>
  <c r="H38" i="12" s="1"/>
  <c r="H50" i="12" a="1"/>
  <c r="H50" i="12" s="1"/>
  <c r="H34" i="12" a="1"/>
  <c r="H34" i="12" s="1"/>
  <c r="H49" i="12" a="1"/>
  <c r="H49" i="12" s="1"/>
  <c r="H33" i="12" a="1"/>
  <c r="H33" i="12" s="1"/>
  <c r="H48" i="12" a="1"/>
  <c r="H48" i="12" s="1"/>
  <c r="H32" i="12" a="1"/>
  <c r="H32" i="12" s="1"/>
  <c r="H61" i="12" a="1"/>
  <c r="H61" i="12" s="1"/>
  <c r="H45" i="12" a="1"/>
  <c r="H45" i="12" s="1"/>
  <c r="H29" i="12" a="1"/>
  <c r="H29" i="12" s="1"/>
  <c r="H58" i="12" a="1"/>
  <c r="H58" i="12" s="1"/>
  <c r="H42" i="12" a="1"/>
  <c r="H42" i="12" s="1"/>
  <c r="H26" i="12" a="1"/>
  <c r="H26" i="12" s="1"/>
  <c r="H51" i="12" a="1"/>
  <c r="H51" i="12" s="1"/>
  <c r="H35" i="12" a="1"/>
  <c r="H35" i="12" s="1"/>
  <c r="H57" i="12" a="1"/>
  <c r="H57" i="12" s="1"/>
  <c r="H41" i="12" a="1"/>
  <c r="H41" i="12" s="1"/>
  <c r="H25" i="12" a="1"/>
  <c r="H25" i="12" s="1"/>
  <c r="H56" i="12" a="1"/>
  <c r="H56" i="12" s="1"/>
  <c r="H40" i="12" a="1"/>
  <c r="H40" i="12" s="1"/>
  <c r="G40" i="12" s="1"/>
  <c r="H55" i="12" a="1"/>
  <c r="H55" i="12" s="1"/>
  <c r="G55" i="12" s="1"/>
  <c r="H39" i="12" a="1"/>
  <c r="H39" i="12" s="1"/>
  <c r="H53" i="12" a="1"/>
  <c r="H53" i="12" s="1"/>
  <c r="H37" i="12" a="1"/>
  <c r="H37" i="12" s="1"/>
  <c r="H24" i="12" a="1"/>
  <c r="H24" i="12" s="1"/>
  <c r="I25" i="12" l="1"/>
  <c r="G30" i="12"/>
  <c r="G34" i="12"/>
  <c r="G50" i="12"/>
  <c r="G41" i="12"/>
  <c r="G38" i="12"/>
  <c r="G57" i="12"/>
  <c r="G54" i="12"/>
  <c r="G27" i="12"/>
  <c r="G43" i="12"/>
  <c r="G59" i="12"/>
  <c r="G42" i="12"/>
  <c r="G28" i="12"/>
  <c r="G44" i="12"/>
  <c r="G24" i="12"/>
  <c r="G56" i="12"/>
  <c r="G25" i="12"/>
  <c r="G58" i="12"/>
  <c r="G29" i="12"/>
  <c r="G60" i="12"/>
  <c r="G46" i="12"/>
  <c r="G36" i="12"/>
  <c r="G48" i="12"/>
  <c r="G33" i="12"/>
  <c r="G37" i="12"/>
  <c r="G61" i="12"/>
  <c r="G53" i="12"/>
  <c r="G32" i="12"/>
  <c r="G39" i="12"/>
  <c r="G52" i="12"/>
  <c r="G49" i="12"/>
  <c r="G6" i="13" a="1"/>
  <c r="G6" i="13" s="1"/>
  <c r="I40" i="12"/>
  <c r="I56" i="12"/>
  <c r="I42" i="12"/>
  <c r="I51" i="12"/>
  <c r="I33" i="12"/>
  <c r="I45" i="12"/>
  <c r="I26" i="12"/>
  <c r="I49" i="12"/>
  <c r="I27" i="12"/>
  <c r="I46" i="12"/>
  <c r="I53" i="12"/>
  <c r="I28" i="12"/>
  <c r="G51" i="12"/>
  <c r="G45" i="12"/>
  <c r="I60" i="12"/>
  <c r="I30" i="12"/>
  <c r="G35" i="12"/>
  <c r="I59" i="12"/>
  <c r="I61" i="12"/>
  <c r="I48" i="12"/>
  <c r="G26" i="12"/>
  <c r="I55" i="12"/>
  <c r="I58" i="12"/>
  <c r="I35" i="12"/>
  <c r="I43" i="12"/>
  <c r="A2" i="14" s="1" a="1"/>
  <c r="A2" i="14" s="1"/>
  <c r="I39" i="12"/>
  <c r="B6" i="13" a="1"/>
  <c r="B6" i="13" s="1"/>
  <c r="I24" i="12"/>
  <c r="C6" i="13" a="1"/>
  <c r="C6" i="13" s="1"/>
  <c r="I44" i="12"/>
  <c r="I34" i="12"/>
  <c r="F6" i="13" a="1"/>
  <c r="F6" i="13" s="1"/>
  <c r="I29" i="12"/>
  <c r="I50" i="12"/>
  <c r="E6" i="13" a="1"/>
  <c r="I32" i="12"/>
  <c r="I38" i="12"/>
  <c r="I47" i="12"/>
  <c r="I54" i="12"/>
  <c r="I31" i="12"/>
  <c r="I41" i="12"/>
  <c r="I36" i="12"/>
  <c r="I37" i="12"/>
  <c r="I57" i="12"/>
  <c r="I52" i="12"/>
  <c r="D6" i="13" l="1" a="1"/>
  <c r="D6" i="13" s="1"/>
  <c r="E51" i="13" s="1"/>
  <c r="E6" i="13"/>
  <c r="H6" i="13" s="1"/>
  <c r="H36" i="13"/>
  <c r="H20" i="13"/>
  <c r="H32" i="13"/>
  <c r="H15" i="13"/>
  <c r="H14" i="13"/>
  <c r="H29" i="13"/>
  <c r="H39" i="13"/>
  <c r="H37" i="13"/>
  <c r="H35" i="13"/>
  <c r="H19" i="13"/>
  <c r="H13" i="13"/>
  <c r="H26" i="13"/>
  <c r="H34" i="13"/>
  <c r="H18" i="13"/>
  <c r="H16" i="13"/>
  <c r="H40" i="13"/>
  <c r="H33" i="13"/>
  <c r="H17" i="13"/>
  <c r="H31" i="13"/>
  <c r="H30" i="13"/>
  <c r="H10" i="13"/>
  <c r="H24" i="13"/>
  <c r="H8" i="13"/>
  <c r="H38" i="13"/>
  <c r="H28" i="13"/>
  <c r="H12" i="13"/>
  <c r="H23" i="13"/>
  <c r="H22" i="13"/>
  <c r="H21" i="13"/>
  <c r="H43" i="13"/>
  <c r="H27" i="13"/>
  <c r="H11" i="13"/>
  <c r="H42" i="13"/>
  <c r="H7" i="13"/>
  <c r="H41" i="13"/>
  <c r="H25" i="13"/>
  <c r="H9" i="13"/>
  <c r="B93" i="12" a="1"/>
  <c r="B93" i="12" s="1"/>
  <c r="B77" i="12" a="1"/>
  <c r="B77" i="12" s="1"/>
  <c r="B72" i="12" a="1"/>
  <c r="B72" i="12" s="1"/>
  <c r="B71" i="12" a="1"/>
  <c r="B71" i="12" s="1"/>
  <c r="B70" i="12" a="1"/>
  <c r="B70" i="12" s="1"/>
  <c r="B99" i="12" a="1"/>
  <c r="B99" i="12" s="1"/>
  <c r="B96" i="12" a="1"/>
  <c r="B96" i="12" s="1"/>
  <c r="B92" i="12" a="1"/>
  <c r="B92" i="12" s="1"/>
  <c r="B76" i="12" a="1"/>
  <c r="B76" i="12" s="1"/>
  <c r="B103" i="12" a="1"/>
  <c r="B103" i="12" s="1"/>
  <c r="B102" i="12" a="1"/>
  <c r="B102" i="12" s="1"/>
  <c r="B67" i="12" a="1"/>
  <c r="B67" i="12" s="1"/>
  <c r="B79" i="12" a="1"/>
  <c r="B79" i="12" s="1"/>
  <c r="B91" i="12" a="1"/>
  <c r="B91" i="12" s="1"/>
  <c r="B75" i="12" a="1"/>
  <c r="B75" i="12" s="1"/>
  <c r="B89" i="12" a="1"/>
  <c r="B89" i="12" s="1"/>
  <c r="B86" i="12" a="1"/>
  <c r="B86" i="12" s="1"/>
  <c r="B81" i="12" a="1"/>
  <c r="B81" i="12" s="1"/>
  <c r="B78" i="12" a="1"/>
  <c r="B78" i="12" s="1"/>
  <c r="B90" i="12" a="1"/>
  <c r="B90" i="12" s="1"/>
  <c r="B74" i="12" a="1"/>
  <c r="B74" i="12" s="1"/>
  <c r="B73" i="12" a="1"/>
  <c r="B73" i="12" s="1"/>
  <c r="B88" i="12" a="1"/>
  <c r="B88" i="12" s="1"/>
  <c r="B87" i="12" a="1"/>
  <c r="B87" i="12" s="1"/>
  <c r="B97" i="12" a="1"/>
  <c r="B97" i="12" s="1"/>
  <c r="B95" i="12" a="1"/>
  <c r="B95" i="12" s="1"/>
  <c r="B101" i="12" a="1"/>
  <c r="B101" i="12" s="1"/>
  <c r="B85" i="12" a="1"/>
  <c r="B85" i="12" s="1"/>
  <c r="B69" i="12" a="1"/>
  <c r="B69" i="12" s="1"/>
  <c r="B100" i="12" a="1"/>
  <c r="B100" i="12" s="1"/>
  <c r="B84" i="12" a="1"/>
  <c r="B84" i="12" s="1"/>
  <c r="B68" i="12" a="1"/>
  <c r="B68" i="12" s="1"/>
  <c r="B83" i="12" a="1"/>
  <c r="B83" i="12" s="1"/>
  <c r="B94" i="12" a="1"/>
  <c r="B94" i="12" s="1"/>
  <c r="B98" i="12" a="1"/>
  <c r="B98" i="12" s="1"/>
  <c r="B82" i="12" a="1"/>
  <c r="B82" i="12" s="1"/>
  <c r="B66" i="12" a="1"/>
  <c r="B66" i="12" s="1"/>
  <c r="B80" i="12" a="1"/>
  <c r="B80" i="12" s="1"/>
  <c r="E50" i="13" l="1"/>
  <c r="B51" i="13"/>
  <c r="B48" i="13"/>
  <c r="C51" i="13"/>
  <c r="D48" i="13"/>
  <c r="B49" i="13"/>
  <c r="B50" i="13"/>
  <c r="E48" i="13"/>
  <c r="D51" i="13"/>
  <c r="B58" i="13" a="1"/>
  <c r="B58" i="13" s="1"/>
  <c r="B55" i="13" a="1"/>
  <c r="B55" i="13" s="1"/>
  <c r="B57" i="13" a="1"/>
  <c r="B57" i="13" s="1"/>
  <c r="B56" i="13" a="1"/>
  <c r="B56" i="13" s="1"/>
  <c r="C49" i="13"/>
  <c r="E49" i="13"/>
  <c r="C50" i="13"/>
  <c r="D49" i="13"/>
  <c r="D50" i="13"/>
  <c r="F51" i="13"/>
  <c r="F48" i="13"/>
  <c r="F50" i="13"/>
  <c r="F49" i="13"/>
  <c r="C48" i="13"/>
  <c r="E52" i="13" l="1"/>
  <c r="B52" i="13"/>
  <c r="D52" i="13"/>
  <c r="C52" i="13"/>
  <c r="F52" i="13"/>
  <c r="J5" i="11" l="1"/>
  <c r="J6" i="11"/>
  <c r="J7" i="11"/>
  <c r="J4" i="11"/>
  <c r="F126" i="3" l="1"/>
  <c r="F127" i="3"/>
  <c r="F128" i="3"/>
  <c r="F129" i="3"/>
  <c r="F130" i="3"/>
  <c r="F131" i="3"/>
  <c r="F132" i="3"/>
  <c r="F133" i="3"/>
  <c r="F134" i="3"/>
  <c r="F135" i="3"/>
  <c r="F136" i="3"/>
  <c r="F137" i="3"/>
  <c r="F138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M141" i="1" l="1"/>
  <c r="N141" i="1"/>
  <c r="O141" i="1"/>
  <c r="P141" i="1"/>
  <c r="Q141" i="1"/>
  <c r="R141" i="1"/>
  <c r="S141" i="1"/>
  <c r="T141" i="1"/>
  <c r="U141" i="1"/>
  <c r="V141" i="1"/>
  <c r="W141" i="1"/>
  <c r="X141" i="1"/>
  <c r="E40" i="1"/>
  <c r="J40" i="1" l="1"/>
  <c r="R40" i="1"/>
  <c r="F40" i="1"/>
  <c r="G40" i="1" s="1"/>
  <c r="H40" i="1" s="1"/>
  <c r="I40" i="1" s="1"/>
  <c r="Q40" i="1" s="1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40" i="1"/>
  <c r="E139" i="1"/>
  <c r="E138" i="1"/>
  <c r="F138" i="1" s="1"/>
  <c r="G138" i="1" s="1"/>
  <c r="H138" i="1" s="1"/>
  <c r="I138" i="1" s="1"/>
  <c r="E137" i="1"/>
  <c r="E136" i="1"/>
  <c r="F136" i="1" s="1"/>
  <c r="G136" i="1" s="1"/>
  <c r="H136" i="1" s="1"/>
  <c r="I136" i="1" s="1"/>
  <c r="E135" i="1"/>
  <c r="E134" i="1"/>
  <c r="E133" i="1"/>
  <c r="E132" i="1"/>
  <c r="E131" i="1"/>
  <c r="E130" i="1"/>
  <c r="F130" i="1" s="1"/>
  <c r="G130" i="1" s="1"/>
  <c r="H130" i="1" s="1"/>
  <c r="I130" i="1" s="1"/>
  <c r="E129" i="1"/>
  <c r="F129" i="1" s="1"/>
  <c r="G129" i="1" s="1"/>
  <c r="H129" i="1" s="1"/>
  <c r="I129" i="1" s="1"/>
  <c r="E128" i="1"/>
  <c r="E127" i="1"/>
  <c r="E126" i="1"/>
  <c r="J126" i="1" s="1"/>
  <c r="E125" i="1"/>
  <c r="J125" i="1" s="1"/>
  <c r="E124" i="1"/>
  <c r="E123" i="1"/>
  <c r="E122" i="1"/>
  <c r="E121" i="1"/>
  <c r="F121" i="1" s="1"/>
  <c r="G121" i="1" s="1"/>
  <c r="H121" i="1" s="1"/>
  <c r="I121" i="1" s="1"/>
  <c r="E120" i="1"/>
  <c r="E119" i="1"/>
  <c r="J119" i="1" s="1"/>
  <c r="E118" i="1"/>
  <c r="E117" i="1"/>
  <c r="E116" i="1"/>
  <c r="E115" i="1"/>
  <c r="J115" i="1" s="1"/>
  <c r="E114" i="1"/>
  <c r="F114" i="1" s="1"/>
  <c r="G114" i="1" s="1"/>
  <c r="H114" i="1" s="1"/>
  <c r="I114" i="1" s="1"/>
  <c r="E113" i="1"/>
  <c r="E112" i="1"/>
  <c r="E111" i="1"/>
  <c r="E110" i="1"/>
  <c r="E109" i="1"/>
  <c r="E108" i="1"/>
  <c r="E107" i="1"/>
  <c r="F107" i="1" s="1"/>
  <c r="G107" i="1" s="1"/>
  <c r="H107" i="1" s="1"/>
  <c r="I107" i="1" s="1"/>
  <c r="E106" i="1"/>
  <c r="J106" i="1" s="1"/>
  <c r="E105" i="1"/>
  <c r="J105" i="1" s="1"/>
  <c r="E104" i="1"/>
  <c r="E103" i="1"/>
  <c r="F103" i="1" s="1"/>
  <c r="G103" i="1" s="1"/>
  <c r="H103" i="1" s="1"/>
  <c r="I103" i="1" s="1"/>
  <c r="E102" i="1"/>
  <c r="E101" i="1"/>
  <c r="E100" i="1"/>
  <c r="F100" i="1" s="1"/>
  <c r="G100" i="1" s="1"/>
  <c r="H100" i="1" s="1"/>
  <c r="I100" i="1" s="1"/>
  <c r="E99" i="1"/>
  <c r="E98" i="1"/>
  <c r="F98" i="1" s="1"/>
  <c r="G98" i="1" s="1"/>
  <c r="H98" i="1" s="1"/>
  <c r="I98" i="1" s="1"/>
  <c r="E97" i="1"/>
  <c r="E96" i="1"/>
  <c r="F96" i="1" s="1"/>
  <c r="G96" i="1" s="1"/>
  <c r="H96" i="1" s="1"/>
  <c r="I96" i="1" s="1"/>
  <c r="E95" i="1"/>
  <c r="F95" i="1" s="1"/>
  <c r="G95" i="1" s="1"/>
  <c r="H95" i="1" s="1"/>
  <c r="I95" i="1" s="1"/>
  <c r="E94" i="1"/>
  <c r="J94" i="1" s="1"/>
  <c r="E93" i="1"/>
  <c r="E92" i="1"/>
  <c r="E91" i="1"/>
  <c r="E90" i="1"/>
  <c r="E89" i="1"/>
  <c r="F89" i="1" s="1"/>
  <c r="G89" i="1" s="1"/>
  <c r="H89" i="1" s="1"/>
  <c r="I89" i="1" s="1"/>
  <c r="E88" i="1"/>
  <c r="F88" i="1" s="1"/>
  <c r="G88" i="1" s="1"/>
  <c r="H88" i="1" s="1"/>
  <c r="I88" i="1" s="1"/>
  <c r="E87" i="1"/>
  <c r="J87" i="1" s="1"/>
  <c r="E86" i="1"/>
  <c r="F86" i="1" s="1"/>
  <c r="G86" i="1" s="1"/>
  <c r="H86" i="1" s="1"/>
  <c r="I86" i="1" s="1"/>
  <c r="E85" i="1"/>
  <c r="E84" i="1"/>
  <c r="E83" i="1"/>
  <c r="E82" i="1"/>
  <c r="F82" i="1" s="1"/>
  <c r="G82" i="1" s="1"/>
  <c r="H82" i="1" s="1"/>
  <c r="I82" i="1" s="1"/>
  <c r="E81" i="1"/>
  <c r="E80" i="1"/>
  <c r="E79" i="1"/>
  <c r="F79" i="1" s="1"/>
  <c r="G79" i="1" s="1"/>
  <c r="H79" i="1" s="1"/>
  <c r="I79" i="1" s="1"/>
  <c r="E78" i="1"/>
  <c r="E77" i="1"/>
  <c r="J77" i="1" s="1"/>
  <c r="E76" i="1"/>
  <c r="E75" i="1"/>
  <c r="E74" i="1"/>
  <c r="F74" i="1" s="1"/>
  <c r="G74" i="1" s="1"/>
  <c r="H74" i="1" s="1"/>
  <c r="I74" i="1" s="1"/>
  <c r="E73" i="1"/>
  <c r="F73" i="1" s="1"/>
  <c r="G73" i="1" s="1"/>
  <c r="H73" i="1" s="1"/>
  <c r="I73" i="1" s="1"/>
  <c r="E72" i="1"/>
  <c r="J72" i="1" s="1"/>
  <c r="E71" i="1"/>
  <c r="J71" i="1" s="1"/>
  <c r="E70" i="1"/>
  <c r="E69" i="1"/>
  <c r="E68" i="1"/>
  <c r="E67" i="1"/>
  <c r="F67" i="1" s="1"/>
  <c r="G67" i="1" s="1"/>
  <c r="H67" i="1" s="1"/>
  <c r="I67" i="1" s="1"/>
  <c r="E66" i="1"/>
  <c r="E65" i="1"/>
  <c r="E64" i="1"/>
  <c r="J64" i="1" s="1"/>
  <c r="E63" i="1"/>
  <c r="J63" i="1" s="1"/>
  <c r="E62" i="1"/>
  <c r="F62" i="1" s="1"/>
  <c r="G62" i="1" s="1"/>
  <c r="H62" i="1" s="1"/>
  <c r="I62" i="1" s="1"/>
  <c r="E61" i="1"/>
  <c r="E60" i="1"/>
  <c r="J60" i="1" s="1"/>
  <c r="E59" i="1"/>
  <c r="J59" i="1" s="1"/>
  <c r="E58" i="1"/>
  <c r="J58" i="1" s="1"/>
  <c r="E57" i="1"/>
  <c r="E56" i="1"/>
  <c r="J56" i="1" s="1"/>
  <c r="E55" i="1"/>
  <c r="E54" i="1"/>
  <c r="F54" i="1" s="1"/>
  <c r="G54" i="1" s="1"/>
  <c r="H54" i="1" s="1"/>
  <c r="I54" i="1" s="1"/>
  <c r="E53" i="1"/>
  <c r="E52" i="1"/>
  <c r="E51" i="1"/>
  <c r="E50" i="1"/>
  <c r="E49" i="1"/>
  <c r="E48" i="1"/>
  <c r="J48" i="1" s="1"/>
  <c r="E47" i="1"/>
  <c r="F47" i="1" s="1"/>
  <c r="G47" i="1" s="1"/>
  <c r="H47" i="1" s="1"/>
  <c r="I47" i="1" s="1"/>
  <c r="E46" i="1"/>
  <c r="J46" i="1" s="1"/>
  <c r="E45" i="1"/>
  <c r="E44" i="1"/>
  <c r="J44" i="1" s="1"/>
  <c r="E43" i="1"/>
  <c r="J43" i="1" s="1"/>
  <c r="E42" i="1"/>
  <c r="E41" i="1"/>
  <c r="F41" i="1" s="1"/>
  <c r="G41" i="1" s="1"/>
  <c r="H41" i="1" s="1"/>
  <c r="I41" i="1" s="1"/>
  <c r="E39" i="1"/>
  <c r="E38" i="1"/>
  <c r="F38" i="1" s="1"/>
  <c r="G38" i="1" s="1"/>
  <c r="H38" i="1" s="1"/>
  <c r="I38" i="1" s="1"/>
  <c r="E37" i="1"/>
  <c r="J37" i="1" s="1"/>
  <c r="E36" i="1"/>
  <c r="E35" i="1"/>
  <c r="J35" i="1" s="1"/>
  <c r="E34" i="1"/>
  <c r="E33" i="1"/>
  <c r="E32" i="1"/>
  <c r="J32" i="1" s="1"/>
  <c r="E31" i="1"/>
  <c r="F31" i="1" s="1"/>
  <c r="G31" i="1" s="1"/>
  <c r="H31" i="1" s="1"/>
  <c r="I31" i="1" s="1"/>
  <c r="E30" i="1"/>
  <c r="E29" i="1"/>
  <c r="J29" i="1" s="1"/>
  <c r="E28" i="1"/>
  <c r="E27" i="1"/>
  <c r="F27" i="1" s="1"/>
  <c r="G27" i="1" s="1"/>
  <c r="H27" i="1" s="1"/>
  <c r="I27" i="1" s="1"/>
  <c r="E26" i="1"/>
  <c r="E25" i="1"/>
  <c r="E24" i="1"/>
  <c r="F24" i="1" s="1"/>
  <c r="G24" i="1" s="1"/>
  <c r="H24" i="1" s="1"/>
  <c r="I24" i="1" s="1"/>
  <c r="E23" i="1"/>
  <c r="J23" i="1" s="1"/>
  <c r="E22" i="1"/>
  <c r="E21" i="1"/>
  <c r="J21" i="1" s="1"/>
  <c r="E20" i="1"/>
  <c r="F20" i="1" s="1"/>
  <c r="G20" i="1" s="1"/>
  <c r="H20" i="1" s="1"/>
  <c r="I20" i="1" s="1"/>
  <c r="E19" i="1"/>
  <c r="J19" i="1" s="1"/>
  <c r="E18" i="1"/>
  <c r="C14" i="1"/>
  <c r="C13" i="1"/>
  <c r="C6" i="1"/>
  <c r="J98" i="1" l="1"/>
  <c r="J121" i="1"/>
  <c r="F77" i="1"/>
  <c r="G77" i="1" s="1"/>
  <c r="H77" i="1" s="1"/>
  <c r="I77" i="1" s="1"/>
  <c r="K77" i="1" s="1"/>
  <c r="F58" i="1"/>
  <c r="G58" i="1" s="1"/>
  <c r="H58" i="1" s="1"/>
  <c r="I58" i="1" s="1"/>
  <c r="S58" i="1" s="1"/>
  <c r="F105" i="1"/>
  <c r="G105" i="1" s="1"/>
  <c r="H105" i="1" s="1"/>
  <c r="I105" i="1" s="1"/>
  <c r="J129" i="1"/>
  <c r="F71" i="1"/>
  <c r="G71" i="1" s="1"/>
  <c r="H71" i="1" s="1"/>
  <c r="I71" i="1" s="1"/>
  <c r="M71" i="1" s="1"/>
  <c r="J38" i="1"/>
  <c r="F126" i="1"/>
  <c r="G126" i="1" s="1"/>
  <c r="H126" i="1" s="1"/>
  <c r="I126" i="1" s="1"/>
  <c r="P126" i="1" s="1"/>
  <c r="R42" i="1"/>
  <c r="J112" i="1"/>
  <c r="X112" i="1"/>
  <c r="F43" i="1"/>
  <c r="G43" i="1" s="1"/>
  <c r="H43" i="1" s="1"/>
  <c r="I43" i="1" s="1"/>
  <c r="S43" i="1" s="1"/>
  <c r="S51" i="1"/>
  <c r="F72" i="1"/>
  <c r="G72" i="1" s="1"/>
  <c r="H72" i="1" s="1"/>
  <c r="I72" i="1" s="1"/>
  <c r="Q72" i="1" s="1"/>
  <c r="J79" i="1"/>
  <c r="F112" i="1"/>
  <c r="G112" i="1" s="1"/>
  <c r="H112" i="1" s="1"/>
  <c r="I112" i="1" s="1"/>
  <c r="W112" i="1" s="1"/>
  <c r="W40" i="1"/>
  <c r="J24" i="1"/>
  <c r="S52" i="1"/>
  <c r="F59" i="1"/>
  <c r="G59" i="1" s="1"/>
  <c r="H59" i="1" s="1"/>
  <c r="I59" i="1" s="1"/>
  <c r="T59" i="1" s="1"/>
  <c r="F87" i="1"/>
  <c r="G87" i="1" s="1"/>
  <c r="H87" i="1" s="1"/>
  <c r="I87" i="1" s="1"/>
  <c r="Q87" i="1" s="1"/>
  <c r="F93" i="1"/>
  <c r="G93" i="1" s="1"/>
  <c r="H93" i="1" s="1"/>
  <c r="I93" i="1" s="1"/>
  <c r="P93" i="1" s="1"/>
  <c r="Q100" i="1"/>
  <c r="R100" i="1"/>
  <c r="S100" i="1"/>
  <c r="T100" i="1"/>
  <c r="U100" i="1"/>
  <c r="X100" i="1"/>
  <c r="N100" i="1"/>
  <c r="V100" i="1"/>
  <c r="W100" i="1"/>
  <c r="M100" i="1"/>
  <c r="O100" i="1"/>
  <c r="P100" i="1"/>
  <c r="F106" i="1"/>
  <c r="G106" i="1" s="1"/>
  <c r="H106" i="1" s="1"/>
  <c r="I106" i="1" s="1"/>
  <c r="M106" i="1" s="1"/>
  <c r="F117" i="1"/>
  <c r="G117" i="1" s="1"/>
  <c r="H117" i="1" s="1"/>
  <c r="I117" i="1" s="1"/>
  <c r="X117" i="1" s="1"/>
  <c r="P40" i="1"/>
  <c r="P25" i="1"/>
  <c r="J130" i="1"/>
  <c r="M40" i="1"/>
  <c r="P18" i="1"/>
  <c r="M54" i="1"/>
  <c r="P54" i="1"/>
  <c r="R54" i="1"/>
  <c r="S54" i="1"/>
  <c r="V54" i="1"/>
  <c r="W54" i="1"/>
  <c r="O54" i="1"/>
  <c r="Q54" i="1"/>
  <c r="U54" i="1"/>
  <c r="T54" i="1"/>
  <c r="N54" i="1"/>
  <c r="X54" i="1"/>
  <c r="M67" i="1"/>
  <c r="N67" i="1"/>
  <c r="O67" i="1"/>
  <c r="P67" i="1"/>
  <c r="Q67" i="1"/>
  <c r="T67" i="1"/>
  <c r="V67" i="1"/>
  <c r="W67" i="1"/>
  <c r="X67" i="1"/>
  <c r="R67" i="1"/>
  <c r="S67" i="1"/>
  <c r="U67" i="1"/>
  <c r="F81" i="1"/>
  <c r="G81" i="1" s="1"/>
  <c r="H81" i="1" s="1"/>
  <c r="I81" i="1" s="1"/>
  <c r="T81" i="1" s="1"/>
  <c r="J93" i="1"/>
  <c r="M107" i="1"/>
  <c r="N107" i="1"/>
  <c r="O107" i="1"/>
  <c r="P107" i="1"/>
  <c r="Q107" i="1"/>
  <c r="T107" i="1"/>
  <c r="V107" i="1"/>
  <c r="W107" i="1"/>
  <c r="U107" i="1"/>
  <c r="R107" i="1"/>
  <c r="X107" i="1"/>
  <c r="S107" i="1"/>
  <c r="F113" i="1"/>
  <c r="G113" i="1" s="1"/>
  <c r="H113" i="1" s="1"/>
  <c r="I113" i="1" s="1"/>
  <c r="U113" i="1" s="1"/>
  <c r="V40" i="1"/>
  <c r="M86" i="1"/>
  <c r="P86" i="1"/>
  <c r="R86" i="1"/>
  <c r="S86" i="1"/>
  <c r="V86" i="1"/>
  <c r="W86" i="1"/>
  <c r="O86" i="1"/>
  <c r="T86" i="1"/>
  <c r="U86" i="1"/>
  <c r="Q86" i="1"/>
  <c r="N86" i="1"/>
  <c r="X86" i="1"/>
  <c r="J91" i="1"/>
  <c r="W92" i="1"/>
  <c r="O40" i="1"/>
  <c r="F37" i="1"/>
  <c r="G37" i="1" s="1"/>
  <c r="H37" i="1" s="1"/>
  <c r="I37" i="1" s="1"/>
  <c r="U37" i="1" s="1"/>
  <c r="J45" i="1"/>
  <c r="J67" i="1"/>
  <c r="J81" i="1"/>
  <c r="Q88" i="1"/>
  <c r="R88" i="1"/>
  <c r="S88" i="1"/>
  <c r="T88" i="1"/>
  <c r="U88" i="1"/>
  <c r="X88" i="1"/>
  <c r="N88" i="1"/>
  <c r="O88" i="1"/>
  <c r="P88" i="1"/>
  <c r="V88" i="1"/>
  <c r="M88" i="1"/>
  <c r="W88" i="1"/>
  <c r="J107" i="1"/>
  <c r="J113" i="1"/>
  <c r="F119" i="1"/>
  <c r="G119" i="1" s="1"/>
  <c r="H119" i="1" s="1"/>
  <c r="I119" i="1" s="1"/>
  <c r="W119" i="1" s="1"/>
  <c r="F132" i="1"/>
  <c r="G132" i="1" s="1"/>
  <c r="H132" i="1" s="1"/>
  <c r="I132" i="1" s="1"/>
  <c r="N132" i="1" s="1"/>
  <c r="N40" i="1"/>
  <c r="U72" i="1"/>
  <c r="M27" i="1"/>
  <c r="N27" i="1"/>
  <c r="O27" i="1"/>
  <c r="P27" i="1"/>
  <c r="Q27" i="1"/>
  <c r="T27" i="1"/>
  <c r="V27" i="1"/>
  <c r="W27" i="1"/>
  <c r="X27" i="1"/>
  <c r="R27" i="1"/>
  <c r="S27" i="1"/>
  <c r="U27" i="1"/>
  <c r="J28" i="1"/>
  <c r="F46" i="1"/>
  <c r="G46" i="1" s="1"/>
  <c r="H46" i="1" s="1"/>
  <c r="I46" i="1" s="1"/>
  <c r="R46" i="1" s="1"/>
  <c r="F56" i="1"/>
  <c r="G56" i="1" s="1"/>
  <c r="H56" i="1" s="1"/>
  <c r="I56" i="1" s="1"/>
  <c r="N56" i="1" s="1"/>
  <c r="F69" i="1"/>
  <c r="G69" i="1" s="1"/>
  <c r="H69" i="1" s="1"/>
  <c r="I69" i="1" s="1"/>
  <c r="V69" i="1" s="1"/>
  <c r="T69" i="1"/>
  <c r="J108" i="1"/>
  <c r="U40" i="1"/>
  <c r="Q32" i="1"/>
  <c r="U73" i="1"/>
  <c r="V73" i="1"/>
  <c r="W73" i="1"/>
  <c r="X73" i="1"/>
  <c r="N73" i="1"/>
  <c r="O73" i="1"/>
  <c r="R73" i="1"/>
  <c r="S73" i="1"/>
  <c r="M73" i="1"/>
  <c r="P73" i="1"/>
  <c r="Q73" i="1"/>
  <c r="T73" i="1"/>
  <c r="M62" i="1"/>
  <c r="P62" i="1"/>
  <c r="R62" i="1"/>
  <c r="S62" i="1"/>
  <c r="V62" i="1"/>
  <c r="W62" i="1"/>
  <c r="Q62" i="1"/>
  <c r="T62" i="1"/>
  <c r="U62" i="1"/>
  <c r="X62" i="1"/>
  <c r="N62" i="1"/>
  <c r="O62" i="1"/>
  <c r="X40" i="1"/>
  <c r="P21" i="1"/>
  <c r="Q29" i="1"/>
  <c r="M29" i="1"/>
  <c r="M38" i="1"/>
  <c r="P38" i="1"/>
  <c r="R38" i="1"/>
  <c r="S38" i="1"/>
  <c r="V38" i="1"/>
  <c r="W38" i="1"/>
  <c r="N38" i="1"/>
  <c r="T38" i="1"/>
  <c r="O38" i="1"/>
  <c r="U38" i="1"/>
  <c r="Q38" i="1"/>
  <c r="X38" i="1"/>
  <c r="J76" i="1"/>
  <c r="J88" i="1"/>
  <c r="J120" i="1"/>
  <c r="F127" i="1"/>
  <c r="G127" i="1" s="1"/>
  <c r="H127" i="1" s="1"/>
  <c r="I127" i="1" s="1"/>
  <c r="R127" i="1" s="1"/>
  <c r="T40" i="1"/>
  <c r="M79" i="1"/>
  <c r="N79" i="1"/>
  <c r="O79" i="1"/>
  <c r="P79" i="1"/>
  <c r="Q79" i="1"/>
  <c r="T79" i="1"/>
  <c r="V79" i="1"/>
  <c r="W79" i="1"/>
  <c r="S79" i="1"/>
  <c r="U79" i="1"/>
  <c r="R79" i="1"/>
  <c r="X79" i="1"/>
  <c r="F122" i="1"/>
  <c r="G122" i="1" s="1"/>
  <c r="H122" i="1" s="1"/>
  <c r="I122" i="1" s="1"/>
  <c r="X122" i="1" s="1"/>
  <c r="Q33" i="1"/>
  <c r="J86" i="1"/>
  <c r="F116" i="1"/>
  <c r="G116" i="1" s="1"/>
  <c r="H116" i="1" s="1"/>
  <c r="I116" i="1" s="1"/>
  <c r="U116" i="1" s="1"/>
  <c r="R44" i="1"/>
  <c r="M103" i="1"/>
  <c r="N103" i="1"/>
  <c r="O103" i="1"/>
  <c r="P103" i="1"/>
  <c r="Q103" i="1"/>
  <c r="T103" i="1"/>
  <c r="V103" i="1"/>
  <c r="W103" i="1"/>
  <c r="U103" i="1"/>
  <c r="X103" i="1"/>
  <c r="R103" i="1"/>
  <c r="S103" i="1"/>
  <c r="M114" i="1"/>
  <c r="P114" i="1"/>
  <c r="R114" i="1"/>
  <c r="S114" i="1"/>
  <c r="V114" i="1"/>
  <c r="N114" i="1"/>
  <c r="O114" i="1"/>
  <c r="Q114" i="1"/>
  <c r="W114" i="1"/>
  <c r="X114" i="1"/>
  <c r="T114" i="1"/>
  <c r="U114" i="1"/>
  <c r="M47" i="1"/>
  <c r="N47" i="1"/>
  <c r="O47" i="1"/>
  <c r="P47" i="1"/>
  <c r="Q47" i="1"/>
  <c r="T47" i="1"/>
  <c r="V47" i="1"/>
  <c r="W47" i="1"/>
  <c r="S47" i="1"/>
  <c r="R47" i="1"/>
  <c r="U47" i="1"/>
  <c r="X47" i="1"/>
  <c r="J62" i="1"/>
  <c r="J69" i="1"/>
  <c r="V77" i="1"/>
  <c r="X77" i="1"/>
  <c r="N77" i="1"/>
  <c r="R77" i="1"/>
  <c r="S77" i="1"/>
  <c r="T77" i="1"/>
  <c r="M77" i="1"/>
  <c r="P77" i="1"/>
  <c r="Q77" i="1"/>
  <c r="U89" i="1"/>
  <c r="V89" i="1"/>
  <c r="W89" i="1"/>
  <c r="X89" i="1"/>
  <c r="N89" i="1"/>
  <c r="O89" i="1"/>
  <c r="R89" i="1"/>
  <c r="S89" i="1"/>
  <c r="M89" i="1"/>
  <c r="T89" i="1"/>
  <c r="P89" i="1"/>
  <c r="Q89" i="1"/>
  <c r="J96" i="1"/>
  <c r="Q96" i="1"/>
  <c r="R96" i="1"/>
  <c r="S96" i="1"/>
  <c r="T96" i="1"/>
  <c r="U96" i="1"/>
  <c r="X96" i="1"/>
  <c r="N96" i="1"/>
  <c r="M96" i="1"/>
  <c r="V96" i="1"/>
  <c r="W96" i="1"/>
  <c r="O96" i="1"/>
  <c r="P96" i="1"/>
  <c r="J103" i="1"/>
  <c r="F109" i="1"/>
  <c r="G109" i="1" s="1"/>
  <c r="H109" i="1" s="1"/>
  <c r="I109" i="1" s="1"/>
  <c r="O109" i="1" s="1"/>
  <c r="J114" i="1"/>
  <c r="U121" i="1"/>
  <c r="V121" i="1"/>
  <c r="W121" i="1"/>
  <c r="X121" i="1"/>
  <c r="N121" i="1"/>
  <c r="O121" i="1"/>
  <c r="R121" i="1"/>
  <c r="M121" i="1"/>
  <c r="Q121" i="1"/>
  <c r="P121" i="1"/>
  <c r="S121" i="1"/>
  <c r="T121" i="1"/>
  <c r="J127" i="1"/>
  <c r="S40" i="1"/>
  <c r="Q24" i="1"/>
  <c r="R24" i="1"/>
  <c r="S24" i="1"/>
  <c r="T24" i="1"/>
  <c r="U24" i="1"/>
  <c r="X24" i="1"/>
  <c r="N24" i="1"/>
  <c r="O24" i="1"/>
  <c r="V24" i="1"/>
  <c r="M24" i="1"/>
  <c r="P24" i="1"/>
  <c r="W24" i="1"/>
  <c r="R130" i="1"/>
  <c r="M130" i="1"/>
  <c r="N130" i="1"/>
  <c r="S130" i="1"/>
  <c r="O130" i="1"/>
  <c r="P130" i="1"/>
  <c r="Q130" i="1"/>
  <c r="T130" i="1"/>
  <c r="U130" i="1"/>
  <c r="V130" i="1"/>
  <c r="X130" i="1"/>
  <c r="W130" i="1"/>
  <c r="R43" i="1"/>
  <c r="O138" i="1"/>
  <c r="P138" i="1"/>
  <c r="W138" i="1"/>
  <c r="Q138" i="1"/>
  <c r="R138" i="1"/>
  <c r="S138" i="1"/>
  <c r="T138" i="1"/>
  <c r="U138" i="1"/>
  <c r="V138" i="1"/>
  <c r="M138" i="1"/>
  <c r="N138" i="1"/>
  <c r="X138" i="1"/>
  <c r="R37" i="1"/>
  <c r="X101" i="1"/>
  <c r="Q20" i="1"/>
  <c r="R20" i="1"/>
  <c r="S20" i="1"/>
  <c r="T20" i="1"/>
  <c r="U20" i="1"/>
  <c r="X20" i="1"/>
  <c r="N20" i="1"/>
  <c r="O20" i="1"/>
  <c r="M20" i="1"/>
  <c r="P20" i="1"/>
  <c r="W20" i="1"/>
  <c r="V20" i="1"/>
  <c r="M95" i="1"/>
  <c r="N95" i="1"/>
  <c r="O95" i="1"/>
  <c r="P95" i="1"/>
  <c r="Q95" i="1"/>
  <c r="T95" i="1"/>
  <c r="V95" i="1"/>
  <c r="W95" i="1"/>
  <c r="S95" i="1"/>
  <c r="U95" i="1"/>
  <c r="R95" i="1"/>
  <c r="X95" i="1"/>
  <c r="P22" i="1"/>
  <c r="F135" i="1"/>
  <c r="G135" i="1" s="1"/>
  <c r="H135" i="1" s="1"/>
  <c r="I135" i="1" s="1"/>
  <c r="X135" i="1" s="1"/>
  <c r="P19" i="1"/>
  <c r="F30" i="1"/>
  <c r="G30" i="1" s="1"/>
  <c r="H30" i="1" s="1"/>
  <c r="I30" i="1" s="1"/>
  <c r="U30" i="1" s="1"/>
  <c r="Q30" i="1"/>
  <c r="T57" i="1"/>
  <c r="P23" i="1"/>
  <c r="M31" i="1"/>
  <c r="N31" i="1"/>
  <c r="O31" i="1"/>
  <c r="P31" i="1"/>
  <c r="Q31" i="1"/>
  <c r="T31" i="1"/>
  <c r="V31" i="1"/>
  <c r="W31" i="1"/>
  <c r="S31" i="1"/>
  <c r="U31" i="1"/>
  <c r="R31" i="1"/>
  <c r="X31" i="1"/>
  <c r="R39" i="1"/>
  <c r="J47" i="1"/>
  <c r="F57" i="1"/>
  <c r="G57" i="1" s="1"/>
  <c r="H57" i="1" s="1"/>
  <c r="I57" i="1" s="1"/>
  <c r="U57" i="1" s="1"/>
  <c r="F63" i="1"/>
  <c r="G63" i="1" s="1"/>
  <c r="H63" i="1" s="1"/>
  <c r="I63" i="1" s="1"/>
  <c r="W63" i="1" s="1"/>
  <c r="J70" i="1"/>
  <c r="J84" i="1"/>
  <c r="J89" i="1"/>
  <c r="J104" i="1"/>
  <c r="F110" i="1"/>
  <c r="G110" i="1" s="1"/>
  <c r="H110" i="1" s="1"/>
  <c r="I110" i="1" s="1"/>
  <c r="W110" i="1" s="1"/>
  <c r="F115" i="1"/>
  <c r="G115" i="1" s="1"/>
  <c r="H115" i="1" s="1"/>
  <c r="I115" i="1" s="1"/>
  <c r="U115" i="1" s="1"/>
  <c r="N129" i="1"/>
  <c r="O129" i="1"/>
  <c r="M129" i="1"/>
  <c r="Q129" i="1"/>
  <c r="P129" i="1"/>
  <c r="T129" i="1"/>
  <c r="W129" i="1"/>
  <c r="U129" i="1"/>
  <c r="V129" i="1"/>
  <c r="X129" i="1"/>
  <c r="R129" i="1"/>
  <c r="S129" i="1"/>
  <c r="J135" i="1"/>
  <c r="J111" i="1"/>
  <c r="S53" i="1"/>
  <c r="M74" i="1"/>
  <c r="P74" i="1"/>
  <c r="R74" i="1"/>
  <c r="S74" i="1"/>
  <c r="V74" i="1"/>
  <c r="W74" i="1"/>
  <c r="O74" i="1"/>
  <c r="X74" i="1"/>
  <c r="Q74" i="1"/>
  <c r="N74" i="1"/>
  <c r="T74" i="1"/>
  <c r="U74" i="1"/>
  <c r="J27" i="1"/>
  <c r="M82" i="1"/>
  <c r="P82" i="1"/>
  <c r="R82" i="1"/>
  <c r="S82" i="1"/>
  <c r="V82" i="1"/>
  <c r="W82" i="1"/>
  <c r="N82" i="1"/>
  <c r="T82" i="1"/>
  <c r="X82" i="1"/>
  <c r="U82" i="1"/>
  <c r="Q82" i="1"/>
  <c r="O82" i="1"/>
  <c r="U41" i="1"/>
  <c r="V41" i="1"/>
  <c r="W41" i="1"/>
  <c r="X41" i="1"/>
  <c r="N41" i="1"/>
  <c r="O41" i="1"/>
  <c r="R41" i="1"/>
  <c r="S41" i="1"/>
  <c r="M41" i="1"/>
  <c r="P41" i="1"/>
  <c r="Q41" i="1"/>
  <c r="T41" i="1"/>
  <c r="M58" i="1"/>
  <c r="P58" i="1"/>
  <c r="R58" i="1"/>
  <c r="U58" i="1"/>
  <c r="Q58" i="1"/>
  <c r="T58" i="1"/>
  <c r="P71" i="1"/>
  <c r="V71" i="1"/>
  <c r="M98" i="1"/>
  <c r="P98" i="1"/>
  <c r="R98" i="1"/>
  <c r="S98" i="1"/>
  <c r="V98" i="1"/>
  <c r="N98" i="1"/>
  <c r="O98" i="1"/>
  <c r="T98" i="1"/>
  <c r="U98" i="1"/>
  <c r="Q98" i="1"/>
  <c r="W98" i="1"/>
  <c r="X98" i="1"/>
  <c r="U105" i="1"/>
  <c r="V105" i="1"/>
  <c r="W105" i="1"/>
  <c r="X105" i="1"/>
  <c r="N105" i="1"/>
  <c r="O105" i="1"/>
  <c r="R105" i="1"/>
  <c r="M105" i="1"/>
  <c r="P105" i="1"/>
  <c r="T105" i="1"/>
  <c r="Q105" i="1"/>
  <c r="S105" i="1"/>
  <c r="J110" i="1"/>
  <c r="W136" i="1"/>
  <c r="X136" i="1"/>
  <c r="M136" i="1"/>
  <c r="O136" i="1"/>
  <c r="N136" i="1"/>
  <c r="R136" i="1"/>
  <c r="S136" i="1"/>
  <c r="T136" i="1"/>
  <c r="Q136" i="1"/>
  <c r="P136" i="1"/>
  <c r="U136" i="1"/>
  <c r="V136" i="1"/>
  <c r="K40" i="1"/>
  <c r="K54" i="1"/>
  <c r="K31" i="1"/>
  <c r="K129" i="1"/>
  <c r="K38" i="1"/>
  <c r="K27" i="1"/>
  <c r="K47" i="1"/>
  <c r="K41" i="1"/>
  <c r="K72" i="1"/>
  <c r="K67" i="1"/>
  <c r="K79" i="1"/>
  <c r="K20" i="1"/>
  <c r="J49" i="1"/>
  <c r="F18" i="1"/>
  <c r="G18" i="1" s="1"/>
  <c r="H18" i="1" s="1"/>
  <c r="I18" i="1" s="1"/>
  <c r="S18" i="1" s="1"/>
  <c r="J53" i="1"/>
  <c r="F53" i="1"/>
  <c r="G53" i="1" s="1"/>
  <c r="H53" i="1" s="1"/>
  <c r="I53" i="1" s="1"/>
  <c r="V53" i="1" s="1"/>
  <c r="K96" i="1"/>
  <c r="K114" i="1"/>
  <c r="K130" i="1"/>
  <c r="J30" i="1"/>
  <c r="F55" i="1"/>
  <c r="G55" i="1" s="1"/>
  <c r="H55" i="1" s="1"/>
  <c r="I55" i="1" s="1"/>
  <c r="K55" i="1" s="1"/>
  <c r="J18" i="1"/>
  <c r="F32" i="1"/>
  <c r="G32" i="1" s="1"/>
  <c r="H32" i="1" s="1"/>
  <c r="I32" i="1" s="1"/>
  <c r="F104" i="1"/>
  <c r="G104" i="1" s="1"/>
  <c r="H104" i="1" s="1"/>
  <c r="I104" i="1" s="1"/>
  <c r="K104" i="1" s="1"/>
  <c r="J78" i="1"/>
  <c r="F97" i="1"/>
  <c r="G97" i="1" s="1"/>
  <c r="H97" i="1" s="1"/>
  <c r="I97" i="1" s="1"/>
  <c r="K97" i="1" s="1"/>
  <c r="J97" i="1"/>
  <c r="K95" i="1"/>
  <c r="F49" i="1"/>
  <c r="G49" i="1" s="1"/>
  <c r="H49" i="1" s="1"/>
  <c r="I49" i="1" s="1"/>
  <c r="K49" i="1" s="1"/>
  <c r="J39" i="1"/>
  <c r="F39" i="1"/>
  <c r="G39" i="1" s="1"/>
  <c r="H39" i="1" s="1"/>
  <c r="I39" i="1" s="1"/>
  <c r="K39" i="1" s="1"/>
  <c r="J26" i="1"/>
  <c r="F26" i="1"/>
  <c r="G26" i="1" s="1"/>
  <c r="H26" i="1" s="1"/>
  <c r="I26" i="1" s="1"/>
  <c r="O26" i="1" s="1"/>
  <c r="F78" i="1"/>
  <c r="G78" i="1" s="1"/>
  <c r="H78" i="1" s="1"/>
  <c r="I78" i="1" s="1"/>
  <c r="K78" i="1" s="1"/>
  <c r="J101" i="1"/>
  <c r="F101" i="1"/>
  <c r="G101" i="1" s="1"/>
  <c r="H101" i="1" s="1"/>
  <c r="I101" i="1" s="1"/>
  <c r="W101" i="1" s="1"/>
  <c r="K136" i="1"/>
  <c r="J42" i="1"/>
  <c r="K24" i="1"/>
  <c r="F23" i="1"/>
  <c r="G23" i="1" s="1"/>
  <c r="H23" i="1" s="1"/>
  <c r="I23" i="1" s="1"/>
  <c r="M23" i="1" s="1"/>
  <c r="F48" i="1"/>
  <c r="G48" i="1" s="1"/>
  <c r="H48" i="1" s="1"/>
  <c r="I48" i="1" s="1"/>
  <c r="K48" i="1" s="1"/>
  <c r="J54" i="1"/>
  <c r="K58" i="1"/>
  <c r="K62" i="1"/>
  <c r="F124" i="1"/>
  <c r="G124" i="1" s="1"/>
  <c r="H124" i="1" s="1"/>
  <c r="I124" i="1" s="1"/>
  <c r="K124" i="1" s="1"/>
  <c r="J124" i="1"/>
  <c r="J137" i="1"/>
  <c r="F137" i="1"/>
  <c r="G137" i="1" s="1"/>
  <c r="H137" i="1" s="1"/>
  <c r="I137" i="1" s="1"/>
  <c r="N137" i="1" s="1"/>
  <c r="K82" i="1"/>
  <c r="K86" i="1"/>
  <c r="K73" i="1"/>
  <c r="J90" i="1"/>
  <c r="K98" i="1"/>
  <c r="J55" i="1"/>
  <c r="F42" i="1"/>
  <c r="G42" i="1" s="1"/>
  <c r="H42" i="1" s="1"/>
  <c r="I42" i="1" s="1"/>
  <c r="K42" i="1" s="1"/>
  <c r="J85" i="1"/>
  <c r="F85" i="1"/>
  <c r="G85" i="1" s="1"/>
  <c r="H85" i="1" s="1"/>
  <c r="I85" i="1" s="1"/>
  <c r="K85" i="1" s="1"/>
  <c r="F28" i="1"/>
  <c r="G28" i="1" s="1"/>
  <c r="H28" i="1" s="1"/>
  <c r="I28" i="1" s="1"/>
  <c r="T28" i="1" s="1"/>
  <c r="F90" i="1"/>
  <c r="G90" i="1" s="1"/>
  <c r="H90" i="1" s="1"/>
  <c r="I90" i="1" s="1"/>
  <c r="K90" i="1" s="1"/>
  <c r="K74" i="1"/>
  <c r="K88" i="1"/>
  <c r="K105" i="1"/>
  <c r="J52" i="1"/>
  <c r="F52" i="1"/>
  <c r="G52" i="1" s="1"/>
  <c r="H52" i="1" s="1"/>
  <c r="I52" i="1" s="1"/>
  <c r="J25" i="1"/>
  <c r="F25" i="1"/>
  <c r="G25" i="1" s="1"/>
  <c r="H25" i="1" s="1"/>
  <c r="I25" i="1" s="1"/>
  <c r="X25" i="1" s="1"/>
  <c r="J33" i="1"/>
  <c r="F33" i="1"/>
  <c r="G33" i="1" s="1"/>
  <c r="H33" i="1" s="1"/>
  <c r="I33" i="1" s="1"/>
  <c r="V33" i="1" s="1"/>
  <c r="J65" i="1"/>
  <c r="F65" i="1"/>
  <c r="G65" i="1" s="1"/>
  <c r="H65" i="1" s="1"/>
  <c r="I65" i="1" s="1"/>
  <c r="U65" i="1" s="1"/>
  <c r="F19" i="1"/>
  <c r="G19" i="1" s="1"/>
  <c r="H19" i="1" s="1"/>
  <c r="I19" i="1" s="1"/>
  <c r="N19" i="1" s="1"/>
  <c r="J22" i="1"/>
  <c r="F22" i="1"/>
  <c r="G22" i="1" s="1"/>
  <c r="H22" i="1" s="1"/>
  <c r="I22" i="1" s="1"/>
  <c r="S22" i="1" s="1"/>
  <c r="J50" i="1"/>
  <c r="F50" i="1"/>
  <c r="G50" i="1" s="1"/>
  <c r="H50" i="1" s="1"/>
  <c r="I50" i="1" s="1"/>
  <c r="W50" i="1" s="1"/>
  <c r="J57" i="1"/>
  <c r="F68" i="1"/>
  <c r="G68" i="1" s="1"/>
  <c r="H68" i="1" s="1"/>
  <c r="I68" i="1" s="1"/>
  <c r="X68" i="1" s="1"/>
  <c r="J68" i="1"/>
  <c r="F91" i="1"/>
  <c r="G91" i="1" s="1"/>
  <c r="H91" i="1" s="1"/>
  <c r="I91" i="1" s="1"/>
  <c r="K91" i="1" s="1"/>
  <c r="K138" i="1"/>
  <c r="F51" i="1"/>
  <c r="G51" i="1" s="1"/>
  <c r="H51" i="1" s="1"/>
  <c r="I51" i="1" s="1"/>
  <c r="M51" i="1" s="1"/>
  <c r="J109" i="1"/>
  <c r="K89" i="1"/>
  <c r="F64" i="1"/>
  <c r="G64" i="1" s="1"/>
  <c r="H64" i="1" s="1"/>
  <c r="I64" i="1" s="1"/>
  <c r="X64" i="1" s="1"/>
  <c r="J75" i="1"/>
  <c r="F75" i="1"/>
  <c r="G75" i="1" s="1"/>
  <c r="H75" i="1" s="1"/>
  <c r="I75" i="1" s="1"/>
  <c r="M75" i="1" s="1"/>
  <c r="F84" i="1"/>
  <c r="G84" i="1" s="1"/>
  <c r="H84" i="1" s="1"/>
  <c r="I84" i="1" s="1"/>
  <c r="Q84" i="1" s="1"/>
  <c r="K100" i="1"/>
  <c r="J136" i="1"/>
  <c r="F21" i="1"/>
  <c r="G21" i="1" s="1"/>
  <c r="H21" i="1" s="1"/>
  <c r="I21" i="1" s="1"/>
  <c r="Q21" i="1" s="1"/>
  <c r="F34" i="1"/>
  <c r="G34" i="1" s="1"/>
  <c r="H34" i="1" s="1"/>
  <c r="I34" i="1" s="1"/>
  <c r="U34" i="1" s="1"/>
  <c r="K107" i="1"/>
  <c r="J131" i="1"/>
  <c r="F35" i="1"/>
  <c r="G35" i="1" s="1"/>
  <c r="H35" i="1" s="1"/>
  <c r="I35" i="1" s="1"/>
  <c r="R35" i="1" s="1"/>
  <c r="J36" i="1"/>
  <c r="J51" i="1"/>
  <c r="J20" i="1"/>
  <c r="J31" i="1"/>
  <c r="F36" i="1"/>
  <c r="G36" i="1" s="1"/>
  <c r="H36" i="1" s="1"/>
  <c r="I36" i="1" s="1"/>
  <c r="R36" i="1" s="1"/>
  <c r="F70" i="1"/>
  <c r="G70" i="1" s="1"/>
  <c r="H70" i="1" s="1"/>
  <c r="I70" i="1" s="1"/>
  <c r="X70" i="1" s="1"/>
  <c r="F131" i="1"/>
  <c r="G131" i="1" s="1"/>
  <c r="H131" i="1" s="1"/>
  <c r="I131" i="1" s="1"/>
  <c r="K131" i="1" s="1"/>
  <c r="J34" i="1"/>
  <c r="K121" i="1"/>
  <c r="F140" i="1"/>
  <c r="G140" i="1" s="1"/>
  <c r="H140" i="1" s="1"/>
  <c r="I140" i="1" s="1"/>
  <c r="M140" i="1" s="1"/>
  <c r="J140" i="1"/>
  <c r="J66" i="1"/>
  <c r="F66" i="1"/>
  <c r="G66" i="1" s="1"/>
  <c r="H66" i="1" s="1"/>
  <c r="I66" i="1" s="1"/>
  <c r="O66" i="1" s="1"/>
  <c r="J83" i="1"/>
  <c r="F83" i="1"/>
  <c r="G83" i="1" s="1"/>
  <c r="H83" i="1" s="1"/>
  <c r="I83" i="1" s="1"/>
  <c r="N83" i="1" s="1"/>
  <c r="F61" i="1"/>
  <c r="G61" i="1" s="1"/>
  <c r="H61" i="1" s="1"/>
  <c r="I61" i="1" s="1"/>
  <c r="Q61" i="1" s="1"/>
  <c r="F44" i="1"/>
  <c r="G44" i="1" s="1"/>
  <c r="H44" i="1" s="1"/>
  <c r="I44" i="1" s="1"/>
  <c r="O44" i="1" s="1"/>
  <c r="F29" i="1"/>
  <c r="G29" i="1" s="1"/>
  <c r="H29" i="1" s="1"/>
  <c r="I29" i="1" s="1"/>
  <c r="U29" i="1" s="1"/>
  <c r="J41" i="1"/>
  <c r="F45" i="1"/>
  <c r="G45" i="1" s="1"/>
  <c r="H45" i="1" s="1"/>
  <c r="I45" i="1" s="1"/>
  <c r="U45" i="1" s="1"/>
  <c r="F60" i="1"/>
  <c r="G60" i="1" s="1"/>
  <c r="H60" i="1" s="1"/>
  <c r="I60" i="1" s="1"/>
  <c r="X60" i="1" s="1"/>
  <c r="J61" i="1"/>
  <c r="J116" i="1"/>
  <c r="J133" i="1"/>
  <c r="F133" i="1"/>
  <c r="G133" i="1" s="1"/>
  <c r="H133" i="1" s="1"/>
  <c r="I133" i="1" s="1"/>
  <c r="S133" i="1" s="1"/>
  <c r="F76" i="1"/>
  <c r="G76" i="1" s="1"/>
  <c r="H76" i="1" s="1"/>
  <c r="I76" i="1" s="1"/>
  <c r="R76" i="1" s="1"/>
  <c r="K103" i="1"/>
  <c r="J128" i="1"/>
  <c r="F128" i="1"/>
  <c r="G128" i="1" s="1"/>
  <c r="H128" i="1" s="1"/>
  <c r="I128" i="1" s="1"/>
  <c r="Q128" i="1" s="1"/>
  <c r="J82" i="1"/>
  <c r="J118" i="1"/>
  <c r="F118" i="1"/>
  <c r="G118" i="1" s="1"/>
  <c r="H118" i="1" s="1"/>
  <c r="I118" i="1" s="1"/>
  <c r="M118" i="1" s="1"/>
  <c r="J99" i="1"/>
  <c r="F102" i="1"/>
  <c r="G102" i="1" s="1"/>
  <c r="H102" i="1" s="1"/>
  <c r="I102" i="1" s="1"/>
  <c r="M102" i="1" s="1"/>
  <c r="F123" i="1"/>
  <c r="G123" i="1" s="1"/>
  <c r="H123" i="1" s="1"/>
  <c r="I123" i="1" s="1"/>
  <c r="M123" i="1" s="1"/>
  <c r="F125" i="1"/>
  <c r="G125" i="1" s="1"/>
  <c r="H125" i="1" s="1"/>
  <c r="I125" i="1" s="1"/>
  <c r="P125" i="1" s="1"/>
  <c r="J74" i="1"/>
  <c r="F92" i="1"/>
  <c r="G92" i="1" s="1"/>
  <c r="H92" i="1" s="1"/>
  <c r="I92" i="1" s="1"/>
  <c r="Q92" i="1" s="1"/>
  <c r="J92" i="1"/>
  <c r="F99" i="1"/>
  <c r="G99" i="1" s="1"/>
  <c r="H99" i="1" s="1"/>
  <c r="I99" i="1" s="1"/>
  <c r="O99" i="1" s="1"/>
  <c r="J102" i="1"/>
  <c r="J123" i="1"/>
  <c r="J132" i="1"/>
  <c r="J139" i="1"/>
  <c r="F139" i="1"/>
  <c r="G139" i="1" s="1"/>
  <c r="H139" i="1" s="1"/>
  <c r="I139" i="1" s="1"/>
  <c r="S139" i="1" s="1"/>
  <c r="J73" i="1"/>
  <c r="J80" i="1"/>
  <c r="F80" i="1"/>
  <c r="G80" i="1" s="1"/>
  <c r="H80" i="1" s="1"/>
  <c r="I80" i="1" s="1"/>
  <c r="U80" i="1" s="1"/>
  <c r="F108" i="1"/>
  <c r="G108" i="1" s="1"/>
  <c r="H108" i="1" s="1"/>
  <c r="I108" i="1" s="1"/>
  <c r="P108" i="1" s="1"/>
  <c r="F134" i="1"/>
  <c r="G134" i="1" s="1"/>
  <c r="H134" i="1" s="1"/>
  <c r="I134" i="1" s="1"/>
  <c r="S134" i="1" s="1"/>
  <c r="J134" i="1"/>
  <c r="J138" i="1"/>
  <c r="J100" i="1"/>
  <c r="J117" i="1"/>
  <c r="F94" i="1"/>
  <c r="G94" i="1" s="1"/>
  <c r="H94" i="1" s="1"/>
  <c r="I94" i="1" s="1"/>
  <c r="Q94" i="1" s="1"/>
  <c r="F111" i="1"/>
  <c r="G111" i="1" s="1"/>
  <c r="H111" i="1" s="1"/>
  <c r="I111" i="1" s="1"/>
  <c r="Q111" i="1" s="1"/>
  <c r="F120" i="1"/>
  <c r="G120" i="1" s="1"/>
  <c r="H120" i="1" s="1"/>
  <c r="I120" i="1" s="1"/>
  <c r="U120" i="1" s="1"/>
  <c r="J122" i="1"/>
  <c r="J95" i="1"/>
  <c r="W127" i="1" l="1"/>
  <c r="Q135" i="1"/>
  <c r="R135" i="1"/>
  <c r="O77" i="1"/>
  <c r="P81" i="1"/>
  <c r="N58" i="1"/>
  <c r="W77" i="1"/>
  <c r="K126" i="1"/>
  <c r="O58" i="1"/>
  <c r="U78" i="1"/>
  <c r="X58" i="1"/>
  <c r="U77" i="1"/>
  <c r="T131" i="1"/>
  <c r="T126" i="1"/>
  <c r="V58" i="1"/>
  <c r="W58" i="1"/>
  <c r="M126" i="1"/>
  <c r="V83" i="1"/>
  <c r="X69" i="1"/>
  <c r="W25" i="1"/>
  <c r="V80" i="1"/>
  <c r="Q71" i="1"/>
  <c r="S49" i="1"/>
  <c r="U69" i="1"/>
  <c r="V25" i="1"/>
  <c r="W91" i="1"/>
  <c r="P53" i="1"/>
  <c r="V36" i="1"/>
  <c r="P127" i="1"/>
  <c r="T53" i="1"/>
  <c r="T61" i="1"/>
  <c r="Q18" i="1"/>
  <c r="V127" i="1"/>
  <c r="M53" i="1"/>
  <c r="W94" i="1"/>
  <c r="P69" i="1"/>
  <c r="X102" i="1"/>
  <c r="T60" i="1"/>
  <c r="W57" i="1"/>
  <c r="K71" i="1"/>
  <c r="S50" i="1"/>
  <c r="X19" i="1"/>
  <c r="W43" i="1"/>
  <c r="M69" i="1"/>
  <c r="N124" i="1"/>
  <c r="V43" i="1"/>
  <c r="K112" i="1"/>
  <c r="Q78" i="1"/>
  <c r="S69" i="1"/>
  <c r="R81" i="1"/>
  <c r="X99" i="1"/>
  <c r="N57" i="1"/>
  <c r="K87" i="1"/>
  <c r="Q69" i="1"/>
  <c r="K57" i="1"/>
  <c r="W90" i="1"/>
  <c r="O78" i="1"/>
  <c r="X104" i="1"/>
  <c r="T56" i="1"/>
  <c r="R69" i="1"/>
  <c r="O81" i="1"/>
  <c r="R93" i="1"/>
  <c r="T43" i="1"/>
  <c r="K43" i="1"/>
  <c r="V85" i="1"/>
  <c r="X97" i="1"/>
  <c r="U70" i="1"/>
  <c r="O69" i="1"/>
  <c r="V81" i="1"/>
  <c r="W93" i="1"/>
  <c r="K69" i="1"/>
  <c r="V117" i="1"/>
  <c r="S81" i="1"/>
  <c r="U71" i="1"/>
  <c r="S48" i="1"/>
  <c r="T63" i="1"/>
  <c r="N69" i="1"/>
  <c r="P87" i="1"/>
  <c r="K113" i="1"/>
  <c r="U64" i="1"/>
  <c r="O108" i="1"/>
  <c r="W140" i="1"/>
  <c r="X71" i="1"/>
  <c r="W39" i="1"/>
  <c r="P43" i="1"/>
  <c r="R64" i="1"/>
  <c r="U76" i="1"/>
  <c r="U112" i="1"/>
  <c r="U117" i="1"/>
  <c r="R71" i="1"/>
  <c r="U53" i="1"/>
  <c r="V39" i="1"/>
  <c r="Q57" i="1"/>
  <c r="O43" i="1"/>
  <c r="T33" i="1"/>
  <c r="T113" i="1"/>
  <c r="M139" i="1"/>
  <c r="N106" i="1"/>
  <c r="R112" i="1"/>
  <c r="N63" i="1"/>
  <c r="Q43" i="1"/>
  <c r="S71" i="1"/>
  <c r="T39" i="1"/>
  <c r="O110" i="1"/>
  <c r="N43" i="1"/>
  <c r="M33" i="1"/>
  <c r="T122" i="1"/>
  <c r="W102" i="1"/>
  <c r="Q113" i="1"/>
  <c r="T139" i="1"/>
  <c r="O106" i="1"/>
  <c r="X140" i="1"/>
  <c r="W71" i="1"/>
  <c r="Q39" i="1"/>
  <c r="O57" i="1"/>
  <c r="N110" i="1"/>
  <c r="M43" i="1"/>
  <c r="W122" i="1"/>
  <c r="M113" i="1"/>
  <c r="M125" i="1"/>
  <c r="X106" i="1"/>
  <c r="S137" i="1"/>
  <c r="S33" i="1"/>
  <c r="V116" i="1"/>
  <c r="K117" i="1"/>
  <c r="K30" i="1"/>
  <c r="T71" i="1"/>
  <c r="X78" i="1"/>
  <c r="X57" i="1"/>
  <c r="W84" i="1"/>
  <c r="P116" i="1"/>
  <c r="U131" i="1"/>
  <c r="M36" i="1"/>
  <c r="Q80" i="1"/>
  <c r="O70" i="1"/>
  <c r="O71" i="1"/>
  <c r="N70" i="1"/>
  <c r="S29" i="1"/>
  <c r="O36" i="1"/>
  <c r="X35" i="1"/>
  <c r="O87" i="1"/>
  <c r="T70" i="1"/>
  <c r="W36" i="1"/>
  <c r="N71" i="1"/>
  <c r="V30" i="1"/>
  <c r="U43" i="1"/>
  <c r="M83" i="1"/>
  <c r="P111" i="1"/>
  <c r="U118" i="1"/>
  <c r="X36" i="1"/>
  <c r="N66" i="1"/>
  <c r="W35" i="1"/>
  <c r="N87" i="1"/>
  <c r="O116" i="1"/>
  <c r="U60" i="1"/>
  <c r="R30" i="1"/>
  <c r="X56" i="1"/>
  <c r="Q37" i="1"/>
  <c r="X43" i="1"/>
  <c r="T21" i="1"/>
  <c r="O118" i="1"/>
  <c r="W26" i="1"/>
  <c r="Q25" i="1"/>
  <c r="V35" i="1"/>
  <c r="T30" i="1"/>
  <c r="W109" i="1"/>
  <c r="N116" i="1"/>
  <c r="M30" i="1"/>
  <c r="Q63" i="1"/>
  <c r="Q118" i="1"/>
  <c r="M25" i="1"/>
  <c r="V28" i="1"/>
  <c r="K109" i="1"/>
  <c r="U23" i="1"/>
  <c r="P28" i="1"/>
  <c r="P110" i="1"/>
  <c r="P37" i="1"/>
  <c r="X75" i="1"/>
  <c r="V132" i="1"/>
  <c r="V131" i="1"/>
  <c r="N81" i="1"/>
  <c r="T35" i="1"/>
  <c r="K81" i="1"/>
  <c r="O97" i="1"/>
  <c r="O39" i="1"/>
  <c r="R23" i="1"/>
  <c r="W128" i="1"/>
  <c r="P104" i="1"/>
  <c r="S70" i="1"/>
  <c r="Q56" i="1"/>
  <c r="M37" i="1"/>
  <c r="U33" i="1"/>
  <c r="M21" i="1"/>
  <c r="R49" i="1"/>
  <c r="O28" i="1"/>
  <c r="M132" i="1"/>
  <c r="U126" i="1"/>
  <c r="V118" i="1"/>
  <c r="T36" i="1"/>
  <c r="X81" i="1"/>
  <c r="X91" i="1"/>
  <c r="U125" i="1"/>
  <c r="Q35" i="1"/>
  <c r="Q137" i="1"/>
  <c r="K56" i="1"/>
  <c r="U132" i="1"/>
  <c r="S110" i="1"/>
  <c r="Q97" i="1"/>
  <c r="S23" i="1"/>
  <c r="W70" i="1"/>
  <c r="R56" i="1"/>
  <c r="W28" i="1"/>
  <c r="X118" i="1"/>
  <c r="U25" i="1"/>
  <c r="W125" i="1"/>
  <c r="Q53" i="1"/>
  <c r="N97" i="1"/>
  <c r="M39" i="1"/>
  <c r="W23" i="1"/>
  <c r="W30" i="1"/>
  <c r="V128" i="1"/>
  <c r="V104" i="1"/>
  <c r="V63" i="1"/>
  <c r="T37" i="1"/>
  <c r="N44" i="1"/>
  <c r="U134" i="1"/>
  <c r="O49" i="1"/>
  <c r="X28" i="1"/>
  <c r="U102" i="1"/>
  <c r="P61" i="1"/>
  <c r="X132" i="1"/>
  <c r="W126" i="1"/>
  <c r="Q36" i="1"/>
  <c r="S113" i="1"/>
  <c r="W81" i="1"/>
  <c r="S91" i="1"/>
  <c r="P35" i="1"/>
  <c r="R99" i="1"/>
  <c r="T42" i="1"/>
  <c r="X44" i="1"/>
  <c r="R134" i="1"/>
  <c r="N49" i="1"/>
  <c r="S61" i="1"/>
  <c r="O132" i="1"/>
  <c r="X126" i="1"/>
  <c r="N26" i="1"/>
  <c r="T80" i="1"/>
  <c r="N35" i="1"/>
  <c r="S99" i="1"/>
  <c r="R51" i="1"/>
  <c r="Q42" i="1"/>
  <c r="V109" i="1"/>
  <c r="S92" i="1"/>
  <c r="V23" i="1"/>
  <c r="P128" i="1"/>
  <c r="K132" i="1"/>
  <c r="X119" i="1"/>
  <c r="W97" i="1"/>
  <c r="T23" i="1"/>
  <c r="O128" i="1"/>
  <c r="S104" i="1"/>
  <c r="S37" i="1"/>
  <c r="U44" i="1"/>
  <c r="Q134" i="1"/>
  <c r="W49" i="1"/>
  <c r="W108" i="1"/>
  <c r="R61" i="1"/>
  <c r="W132" i="1"/>
  <c r="Q126" i="1"/>
  <c r="X26" i="1"/>
  <c r="U81" i="1"/>
  <c r="T91" i="1"/>
  <c r="S80" i="1"/>
  <c r="U51" i="1"/>
  <c r="O42" i="1"/>
  <c r="S56" i="1"/>
  <c r="P132" i="1"/>
  <c r="K93" i="1"/>
  <c r="W48" i="1"/>
  <c r="U97" i="1"/>
  <c r="P30" i="1"/>
  <c r="M128" i="1"/>
  <c r="R104" i="1"/>
  <c r="P63" i="1"/>
  <c r="T44" i="1"/>
  <c r="W134" i="1"/>
  <c r="U49" i="1"/>
  <c r="M108" i="1"/>
  <c r="O61" i="1"/>
  <c r="P45" i="1"/>
  <c r="O126" i="1"/>
  <c r="U26" i="1"/>
  <c r="P113" i="1"/>
  <c r="T66" i="1"/>
  <c r="R80" i="1"/>
  <c r="S93" i="1"/>
  <c r="V51" i="1"/>
  <c r="U92" i="1"/>
  <c r="Q51" i="1"/>
  <c r="K37" i="1"/>
  <c r="R90" i="1"/>
  <c r="T48" i="1"/>
  <c r="S115" i="1"/>
  <c r="V84" i="1"/>
  <c r="R22" i="1"/>
  <c r="M56" i="1"/>
  <c r="N37" i="1"/>
  <c r="O111" i="1"/>
  <c r="X108" i="1"/>
  <c r="W72" i="1"/>
  <c r="V61" i="1"/>
  <c r="N126" i="1"/>
  <c r="S26" i="1"/>
  <c r="R113" i="1"/>
  <c r="W66" i="1"/>
  <c r="Q139" i="1"/>
  <c r="T65" i="1"/>
  <c r="X124" i="1"/>
  <c r="O93" i="1"/>
  <c r="X131" i="1"/>
  <c r="V48" i="1"/>
  <c r="N128" i="1"/>
  <c r="O37" i="1"/>
  <c r="P90" i="1"/>
  <c r="Q50" i="1"/>
  <c r="M57" i="1"/>
  <c r="R115" i="1"/>
  <c r="V56" i="1"/>
  <c r="X37" i="1"/>
  <c r="S83" i="1"/>
  <c r="U108" i="1"/>
  <c r="P72" i="1"/>
  <c r="S55" i="1"/>
  <c r="V92" i="1"/>
  <c r="V126" i="1"/>
  <c r="P26" i="1"/>
  <c r="O113" i="1"/>
  <c r="V66" i="1"/>
  <c r="R139" i="1"/>
  <c r="M65" i="1"/>
  <c r="U124" i="1"/>
  <c r="N93" i="1"/>
  <c r="T34" i="1"/>
  <c r="U18" i="1"/>
  <c r="M19" i="1"/>
  <c r="S60" i="1"/>
  <c r="S90" i="1"/>
  <c r="W56" i="1"/>
  <c r="R45" i="1"/>
  <c r="M90" i="1"/>
  <c r="R48" i="1"/>
  <c r="U50" i="1"/>
  <c r="P57" i="1"/>
  <c r="V94" i="1"/>
  <c r="X115" i="1"/>
  <c r="O84" i="1"/>
  <c r="M22" i="1"/>
  <c r="P56" i="1"/>
  <c r="W37" i="1"/>
  <c r="X83" i="1"/>
  <c r="S109" i="1"/>
  <c r="S108" i="1"/>
  <c r="N72" i="1"/>
  <c r="Q55" i="1"/>
  <c r="P92" i="1"/>
  <c r="S126" i="1"/>
  <c r="X18" i="1"/>
  <c r="N113" i="1"/>
  <c r="S66" i="1"/>
  <c r="P139" i="1"/>
  <c r="P65" i="1"/>
  <c r="S117" i="1"/>
  <c r="X34" i="1"/>
  <c r="S131" i="1"/>
  <c r="X61" i="1"/>
  <c r="Q48" i="1"/>
  <c r="S57" i="1"/>
  <c r="S94" i="1"/>
  <c r="W115" i="1"/>
  <c r="X84" i="1"/>
  <c r="O56" i="1"/>
  <c r="V37" i="1"/>
  <c r="W83" i="1"/>
  <c r="T64" i="1"/>
  <c r="N109" i="1"/>
  <c r="T133" i="1"/>
  <c r="T68" i="1"/>
  <c r="P55" i="1"/>
  <c r="M92" i="1"/>
  <c r="R126" i="1"/>
  <c r="T18" i="1"/>
  <c r="M81" i="1"/>
  <c r="P66" i="1"/>
  <c r="N139" i="1"/>
  <c r="R65" i="1"/>
  <c r="P117" i="1"/>
  <c r="U93" i="1"/>
  <c r="Q34" i="1"/>
  <c r="U56" i="1"/>
  <c r="V110" i="1"/>
  <c r="R125" i="1"/>
  <c r="U75" i="1"/>
  <c r="O125" i="1"/>
  <c r="Q104" i="1"/>
  <c r="T134" i="1"/>
  <c r="Q85" i="1"/>
  <c r="M85" i="1"/>
  <c r="R57" i="1"/>
  <c r="R94" i="1"/>
  <c r="T115" i="1"/>
  <c r="Q70" i="1"/>
  <c r="S64" i="1"/>
  <c r="X109" i="1"/>
  <c r="X123" i="1"/>
  <c r="S127" i="1"/>
  <c r="N92" i="1"/>
  <c r="Q81" i="1"/>
  <c r="V139" i="1"/>
  <c r="W117" i="1"/>
  <c r="V87" i="1"/>
  <c r="N112" i="1"/>
  <c r="O59" i="1"/>
  <c r="M59" i="1"/>
  <c r="P59" i="1"/>
  <c r="Q59" i="1"/>
  <c r="K59" i="1"/>
  <c r="V59" i="1"/>
  <c r="W59" i="1"/>
  <c r="R59" i="1"/>
  <c r="X59" i="1"/>
  <c r="S59" i="1"/>
  <c r="U59" i="1"/>
  <c r="U46" i="1"/>
  <c r="S46" i="1"/>
  <c r="K46" i="1"/>
  <c r="W46" i="1"/>
  <c r="O46" i="1"/>
  <c r="P46" i="1"/>
  <c r="M46" i="1"/>
  <c r="V46" i="1"/>
  <c r="Q46" i="1"/>
  <c r="T46" i="1"/>
  <c r="N46" i="1"/>
  <c r="X46" i="1"/>
  <c r="R119" i="1"/>
  <c r="K119" i="1"/>
  <c r="S119" i="1"/>
  <c r="U119" i="1"/>
  <c r="V119" i="1"/>
  <c r="M119" i="1"/>
  <c r="N119" i="1"/>
  <c r="O119" i="1"/>
  <c r="P119" i="1"/>
  <c r="Q119" i="1"/>
  <c r="T119" i="1"/>
  <c r="R32" i="1"/>
  <c r="P32" i="1"/>
  <c r="S32" i="1"/>
  <c r="N32" i="1"/>
  <c r="T32" i="1"/>
  <c r="U32" i="1"/>
  <c r="X32" i="1"/>
  <c r="O32" i="1"/>
  <c r="M32" i="1"/>
  <c r="W32" i="1"/>
  <c r="V32" i="1"/>
  <c r="N101" i="1"/>
  <c r="U101" i="1"/>
  <c r="O101" i="1"/>
  <c r="P101" i="1"/>
  <c r="R101" i="1"/>
  <c r="V101" i="1"/>
  <c r="S101" i="1"/>
  <c r="M101" i="1"/>
  <c r="Q101" i="1"/>
  <c r="T101" i="1"/>
  <c r="P52" i="1"/>
  <c r="Q52" i="1"/>
  <c r="T52" i="1"/>
  <c r="V52" i="1"/>
  <c r="R52" i="1"/>
  <c r="X52" i="1"/>
  <c r="U52" i="1"/>
  <c r="N52" i="1"/>
  <c r="O52" i="1"/>
  <c r="M52" i="1"/>
  <c r="W52" i="1"/>
  <c r="N59" i="1"/>
  <c r="N68" i="1"/>
  <c r="O68" i="1"/>
  <c r="Q68" i="1"/>
  <c r="U68" i="1"/>
  <c r="P68" i="1"/>
  <c r="W68" i="1"/>
  <c r="V68" i="1"/>
  <c r="M68" i="1"/>
  <c r="R68" i="1"/>
  <c r="S68" i="1"/>
  <c r="X120" i="1"/>
  <c r="N120" i="1"/>
  <c r="S120" i="1"/>
  <c r="M120" i="1"/>
  <c r="O120" i="1"/>
  <c r="P120" i="1"/>
  <c r="V120" i="1"/>
  <c r="W120" i="1"/>
  <c r="T120" i="1"/>
  <c r="Q120" i="1"/>
  <c r="R120" i="1"/>
  <c r="S76" i="1"/>
  <c r="T76" i="1"/>
  <c r="X76" i="1"/>
  <c r="N76" i="1"/>
  <c r="V76" i="1"/>
  <c r="M76" i="1"/>
  <c r="Q76" i="1"/>
  <c r="O76" i="1"/>
  <c r="W76" i="1"/>
  <c r="P76" i="1"/>
  <c r="X50" i="1"/>
  <c r="N78" i="1"/>
  <c r="P94" i="1"/>
  <c r="O135" i="1"/>
  <c r="R75" i="1"/>
  <c r="O122" i="1"/>
  <c r="S21" i="1"/>
  <c r="M116" i="1"/>
  <c r="M111" i="1"/>
  <c r="W133" i="1"/>
  <c r="T127" i="1"/>
  <c r="N108" i="1"/>
  <c r="V72" i="1"/>
  <c r="T102" i="1"/>
  <c r="N55" i="1"/>
  <c r="R60" i="1"/>
  <c r="N125" i="1"/>
  <c r="T124" i="1"/>
  <c r="U99" i="1"/>
  <c r="M87" i="1"/>
  <c r="O34" i="1"/>
  <c r="T112" i="1"/>
  <c r="P137" i="1"/>
  <c r="K63" i="1"/>
  <c r="T85" i="1"/>
  <c r="T50" i="1"/>
  <c r="W78" i="1"/>
  <c r="V97" i="1"/>
  <c r="P39" i="1"/>
  <c r="X23" i="1"/>
  <c r="S30" i="1"/>
  <c r="M94" i="1"/>
  <c r="X128" i="1"/>
  <c r="V115" i="1"/>
  <c r="R110" i="1"/>
  <c r="P84" i="1"/>
  <c r="O63" i="1"/>
  <c r="P135" i="1"/>
  <c r="S44" i="1"/>
  <c r="Q64" i="1"/>
  <c r="N122" i="1"/>
  <c r="P134" i="1"/>
  <c r="U109" i="1"/>
  <c r="T29" i="1"/>
  <c r="R21" i="1"/>
  <c r="U123" i="1"/>
  <c r="W116" i="1"/>
  <c r="X49" i="1"/>
  <c r="X133" i="1"/>
  <c r="Q127" i="1"/>
  <c r="M28" i="1"/>
  <c r="M72" i="1"/>
  <c r="Q102" i="1"/>
  <c r="N61" i="1"/>
  <c r="M55" i="1"/>
  <c r="Q45" i="1"/>
  <c r="O92" i="1"/>
  <c r="R131" i="1"/>
  <c r="T118" i="1"/>
  <c r="Q60" i="1"/>
  <c r="P36" i="1"/>
  <c r="V26" i="1"/>
  <c r="V18" i="1"/>
  <c r="R66" i="1"/>
  <c r="U91" i="1"/>
  <c r="O139" i="1"/>
  <c r="X125" i="1"/>
  <c r="S124" i="1"/>
  <c r="T106" i="1"/>
  <c r="W99" i="1"/>
  <c r="X93" i="1"/>
  <c r="X51" i="1"/>
  <c r="N34" i="1"/>
  <c r="S112" i="1"/>
  <c r="U42" i="1"/>
  <c r="U133" i="1"/>
  <c r="R124" i="1"/>
  <c r="V99" i="1"/>
  <c r="W34" i="1"/>
  <c r="K115" i="1"/>
  <c r="P85" i="1"/>
  <c r="O50" i="1"/>
  <c r="S78" i="1"/>
  <c r="N39" i="1"/>
  <c r="R19" i="1"/>
  <c r="Q115" i="1"/>
  <c r="M110" i="1"/>
  <c r="M84" i="1"/>
  <c r="V70" i="1"/>
  <c r="M63" i="1"/>
  <c r="W135" i="1"/>
  <c r="R83" i="1"/>
  <c r="S75" i="1"/>
  <c r="Q44" i="1"/>
  <c r="P33" i="1"/>
  <c r="S122" i="1"/>
  <c r="O134" i="1"/>
  <c r="P29" i="1"/>
  <c r="N21" i="1"/>
  <c r="R123" i="1"/>
  <c r="X116" i="1"/>
  <c r="V49" i="1"/>
  <c r="R133" i="1"/>
  <c r="O127" i="1"/>
  <c r="N28" i="1"/>
  <c r="T108" i="1"/>
  <c r="O72" i="1"/>
  <c r="W61" i="1"/>
  <c r="T45" i="1"/>
  <c r="X92" i="1"/>
  <c r="N118" i="1"/>
  <c r="N36" i="1"/>
  <c r="R26" i="1"/>
  <c r="P140" i="1"/>
  <c r="M66" i="1"/>
  <c r="R91" i="1"/>
  <c r="W139" i="1"/>
  <c r="V125" i="1"/>
  <c r="Q65" i="1"/>
  <c r="O35" i="1"/>
  <c r="Q124" i="1"/>
  <c r="Q106" i="1"/>
  <c r="T99" i="1"/>
  <c r="V93" i="1"/>
  <c r="W51" i="1"/>
  <c r="V34" i="1"/>
  <c r="Q112" i="1"/>
  <c r="N42" i="1"/>
  <c r="N50" i="1"/>
  <c r="V133" i="1"/>
  <c r="W19" i="1"/>
  <c r="N127" i="1"/>
  <c r="V140" i="1"/>
  <c r="S34" i="1"/>
  <c r="K116" i="1"/>
  <c r="T90" i="1"/>
  <c r="S85" i="1"/>
  <c r="V50" i="1"/>
  <c r="P78" i="1"/>
  <c r="V19" i="1"/>
  <c r="O115" i="1"/>
  <c r="O104" i="1"/>
  <c r="N84" i="1"/>
  <c r="R70" i="1"/>
  <c r="N22" i="1"/>
  <c r="U135" i="1"/>
  <c r="U83" i="1"/>
  <c r="V75" i="1"/>
  <c r="P122" i="1"/>
  <c r="R29" i="1"/>
  <c r="W21" i="1"/>
  <c r="W123" i="1"/>
  <c r="T116" i="1"/>
  <c r="S111" i="1"/>
  <c r="P133" i="1"/>
  <c r="M127" i="1"/>
  <c r="U28" i="1"/>
  <c r="R108" i="1"/>
  <c r="X72" i="1"/>
  <c r="O102" i="1"/>
  <c r="U61" i="1"/>
  <c r="S45" i="1"/>
  <c r="T92" i="1"/>
  <c r="W118" i="1"/>
  <c r="U36" i="1"/>
  <c r="M26" i="1"/>
  <c r="U140" i="1"/>
  <c r="T25" i="1"/>
  <c r="V91" i="1"/>
  <c r="X139" i="1"/>
  <c r="W80" i="1"/>
  <c r="S65" i="1"/>
  <c r="M35" i="1"/>
  <c r="T117" i="1"/>
  <c r="P99" i="1"/>
  <c r="X87" i="1"/>
  <c r="T51" i="1"/>
  <c r="R34" i="1"/>
  <c r="T137" i="1"/>
  <c r="X42" i="1"/>
  <c r="W75" i="1"/>
  <c r="S123" i="1"/>
  <c r="K135" i="1"/>
  <c r="V64" i="1"/>
  <c r="V21" i="1"/>
  <c r="N94" i="1"/>
  <c r="M115" i="1"/>
  <c r="M104" i="1"/>
  <c r="U84" i="1"/>
  <c r="T135" i="1"/>
  <c r="Q75" i="1"/>
  <c r="W64" i="1"/>
  <c r="R33" i="1"/>
  <c r="Q109" i="1"/>
  <c r="N29" i="1"/>
  <c r="U21" i="1"/>
  <c r="T123" i="1"/>
  <c r="R116" i="1"/>
  <c r="X111" i="1"/>
  <c r="N133" i="1"/>
  <c r="S28" i="1"/>
  <c r="T72" i="1"/>
  <c r="V102" i="1"/>
  <c r="U55" i="1"/>
  <c r="O45" i="1"/>
  <c r="R92" i="1"/>
  <c r="Q131" i="1"/>
  <c r="S118" i="1"/>
  <c r="P60" i="1"/>
  <c r="S36" i="1"/>
  <c r="M18" i="1"/>
  <c r="S140" i="1"/>
  <c r="Q91" i="1"/>
  <c r="U139" i="1"/>
  <c r="P80" i="1"/>
  <c r="O65" i="1"/>
  <c r="Q117" i="1"/>
  <c r="U106" i="1"/>
  <c r="N99" i="1"/>
  <c r="S87" i="1"/>
  <c r="P51" i="1"/>
  <c r="M34" i="1"/>
  <c r="W137" i="1"/>
  <c r="W42" i="1"/>
  <c r="Q122" i="1"/>
  <c r="M137" i="1"/>
  <c r="V78" i="1"/>
  <c r="P115" i="1"/>
  <c r="X22" i="1"/>
  <c r="X21" i="1"/>
  <c r="S116" i="1"/>
  <c r="K106" i="1"/>
  <c r="P48" i="1"/>
  <c r="R53" i="1"/>
  <c r="V57" i="1"/>
  <c r="U128" i="1"/>
  <c r="M70" i="1"/>
  <c r="N90" i="1"/>
  <c r="N85" i="1"/>
  <c r="M48" i="1"/>
  <c r="O53" i="1"/>
  <c r="P50" i="1"/>
  <c r="P97" i="1"/>
  <c r="Q23" i="1"/>
  <c r="X94" i="1"/>
  <c r="S19" i="1"/>
  <c r="T128" i="1"/>
  <c r="X110" i="1"/>
  <c r="W104" i="1"/>
  <c r="T84" i="1"/>
  <c r="X63" i="1"/>
  <c r="T22" i="1"/>
  <c r="S135" i="1"/>
  <c r="T83" i="1"/>
  <c r="P75" i="1"/>
  <c r="P44" i="1"/>
  <c r="M64" i="1"/>
  <c r="O33" i="1"/>
  <c r="M134" i="1"/>
  <c r="M109" i="1"/>
  <c r="X29" i="1"/>
  <c r="Q123" i="1"/>
  <c r="Q116" i="1"/>
  <c r="R111" i="1"/>
  <c r="M133" i="1"/>
  <c r="W69" i="1"/>
  <c r="R28" i="1"/>
  <c r="S72" i="1"/>
  <c r="S102" i="1"/>
  <c r="Q132" i="1"/>
  <c r="N45" i="1"/>
  <c r="N131" i="1"/>
  <c r="R118" i="1"/>
  <c r="W60" i="1"/>
  <c r="W18" i="1"/>
  <c r="T140" i="1"/>
  <c r="X113" i="1"/>
  <c r="X66" i="1"/>
  <c r="S25" i="1"/>
  <c r="P91" i="1"/>
  <c r="M80" i="1"/>
  <c r="N65" i="1"/>
  <c r="W124" i="1"/>
  <c r="M117" i="1"/>
  <c r="V106" i="1"/>
  <c r="M99" i="1"/>
  <c r="R87" i="1"/>
  <c r="O51" i="1"/>
  <c r="V112" i="1"/>
  <c r="X137" i="1"/>
  <c r="V42" i="1"/>
  <c r="R122" i="1"/>
  <c r="M45" i="1"/>
  <c r="Q99" i="1"/>
  <c r="Q90" i="1"/>
  <c r="N115" i="1"/>
  <c r="Q22" i="1"/>
  <c r="V123" i="1"/>
  <c r="O133" i="1"/>
  <c r="Q108" i="1"/>
  <c r="V60" i="1"/>
  <c r="Q140" i="1"/>
  <c r="U137" i="1"/>
  <c r="K127" i="1"/>
  <c r="O85" i="1"/>
  <c r="R50" i="1"/>
  <c r="T19" i="1"/>
  <c r="U22" i="1"/>
  <c r="X90" i="1"/>
  <c r="X85" i="1"/>
  <c r="O48" i="1"/>
  <c r="N53" i="1"/>
  <c r="M50" i="1"/>
  <c r="M97" i="1"/>
  <c r="U39" i="1"/>
  <c r="O30" i="1"/>
  <c r="U94" i="1"/>
  <c r="Q19" i="1"/>
  <c r="S128" i="1"/>
  <c r="U110" i="1"/>
  <c r="N104" i="1"/>
  <c r="S84" i="1"/>
  <c r="R63" i="1"/>
  <c r="O22" i="1"/>
  <c r="Q83" i="1"/>
  <c r="O75" i="1"/>
  <c r="M44" i="1"/>
  <c r="P64" i="1"/>
  <c r="N33" i="1"/>
  <c r="N134" i="1"/>
  <c r="P109" i="1"/>
  <c r="W29" i="1"/>
  <c r="P123" i="1"/>
  <c r="T49" i="1"/>
  <c r="W111" i="1"/>
  <c r="Q133" i="1"/>
  <c r="Q28" i="1"/>
  <c r="R72" i="1"/>
  <c r="R102" i="1"/>
  <c r="R55" i="1"/>
  <c r="T132" i="1"/>
  <c r="X45" i="1"/>
  <c r="P131" i="1"/>
  <c r="P118" i="1"/>
  <c r="M60" i="1"/>
  <c r="N18" i="1"/>
  <c r="R140" i="1"/>
  <c r="W113" i="1"/>
  <c r="U66" i="1"/>
  <c r="R25" i="1"/>
  <c r="O91" i="1"/>
  <c r="T125" i="1"/>
  <c r="O80" i="1"/>
  <c r="X65" i="1"/>
  <c r="O124" i="1"/>
  <c r="R117" i="1"/>
  <c r="S106" i="1"/>
  <c r="M93" i="1"/>
  <c r="W87" i="1"/>
  <c r="N51" i="1"/>
  <c r="O112" i="1"/>
  <c r="V137" i="1"/>
  <c r="S42" i="1"/>
  <c r="M135" i="1"/>
  <c r="O21" i="1"/>
  <c r="R85" i="1"/>
  <c r="M78" i="1"/>
  <c r="O94" i="1"/>
  <c r="P70" i="1"/>
  <c r="T75" i="1"/>
  <c r="M122" i="1"/>
  <c r="X55" i="1"/>
  <c r="W106" i="1"/>
  <c r="P34" i="1"/>
  <c r="K122" i="1"/>
  <c r="U90" i="1"/>
  <c r="W85" i="1"/>
  <c r="N48" i="1"/>
  <c r="X53" i="1"/>
  <c r="T97" i="1"/>
  <c r="S39" i="1"/>
  <c r="O23" i="1"/>
  <c r="N30" i="1"/>
  <c r="T94" i="1"/>
  <c r="R128" i="1"/>
  <c r="T110" i="1"/>
  <c r="R84" i="1"/>
  <c r="U63" i="1"/>
  <c r="W22" i="1"/>
  <c r="P83" i="1"/>
  <c r="N75" i="1"/>
  <c r="W44" i="1"/>
  <c r="O64" i="1"/>
  <c r="X33" i="1"/>
  <c r="X134" i="1"/>
  <c r="T109" i="1"/>
  <c r="V29" i="1"/>
  <c r="O123" i="1"/>
  <c r="M49" i="1"/>
  <c r="V111" i="1"/>
  <c r="X127" i="1"/>
  <c r="P102" i="1"/>
  <c r="M61" i="1"/>
  <c r="W55" i="1"/>
  <c r="S132" i="1"/>
  <c r="W45" i="1"/>
  <c r="O131" i="1"/>
  <c r="O60" i="1"/>
  <c r="T26" i="1"/>
  <c r="O18" i="1"/>
  <c r="N140" i="1"/>
  <c r="V113" i="1"/>
  <c r="O25" i="1"/>
  <c r="N91" i="1"/>
  <c r="S125" i="1"/>
  <c r="N80" i="1"/>
  <c r="W65" i="1"/>
  <c r="U35" i="1"/>
  <c r="V124" i="1"/>
  <c r="O117" i="1"/>
  <c r="R106" i="1"/>
  <c r="Q93" i="1"/>
  <c r="M112" i="1"/>
  <c r="R137" i="1"/>
  <c r="R78" i="1"/>
  <c r="V135" i="1"/>
  <c r="O29" i="1"/>
  <c r="U111" i="1"/>
  <c r="N102" i="1"/>
  <c r="U87" i="1"/>
  <c r="X48" i="1"/>
  <c r="W53" i="1"/>
  <c r="S97" i="1"/>
  <c r="X39" i="1"/>
  <c r="N23" i="1"/>
  <c r="X30" i="1"/>
  <c r="O19" i="1"/>
  <c r="Q110" i="1"/>
  <c r="U104" i="1"/>
  <c r="S63" i="1"/>
  <c r="V22" i="1"/>
  <c r="O83" i="1"/>
  <c r="V44" i="1"/>
  <c r="N64" i="1"/>
  <c r="W33" i="1"/>
  <c r="U122" i="1"/>
  <c r="V134" i="1"/>
  <c r="R109" i="1"/>
  <c r="N123" i="1"/>
  <c r="Q49" i="1"/>
  <c r="T111" i="1"/>
  <c r="U127" i="1"/>
  <c r="V108" i="1"/>
  <c r="V55" i="1"/>
  <c r="R132" i="1"/>
  <c r="V45" i="1"/>
  <c r="M131" i="1"/>
  <c r="N60" i="1"/>
  <c r="Q26" i="1"/>
  <c r="R18" i="1"/>
  <c r="O140" i="1"/>
  <c r="Q66" i="1"/>
  <c r="N25" i="1"/>
  <c r="M91" i="1"/>
  <c r="Q125" i="1"/>
  <c r="X80" i="1"/>
  <c r="V65" i="1"/>
  <c r="S35" i="1"/>
  <c r="P124" i="1"/>
  <c r="N117" i="1"/>
  <c r="P106" i="1"/>
  <c r="T93" i="1"/>
  <c r="T87" i="1"/>
  <c r="P112" i="1"/>
  <c r="O137" i="1"/>
  <c r="P42" i="1"/>
  <c r="N111" i="1"/>
  <c r="O55" i="1"/>
  <c r="N135" i="1"/>
  <c r="V122" i="1"/>
  <c r="U19" i="1"/>
  <c r="O90" i="1"/>
  <c r="K110" i="1"/>
  <c r="V90" i="1"/>
  <c r="U85" i="1"/>
  <c r="U48" i="1"/>
  <c r="T78" i="1"/>
  <c r="R97" i="1"/>
  <c r="T104" i="1"/>
  <c r="P49" i="1"/>
  <c r="T55" i="1"/>
  <c r="W131" i="1"/>
  <c r="M124" i="1"/>
  <c r="M42" i="1"/>
  <c r="K34" i="1"/>
  <c r="K118" i="1"/>
  <c r="K25" i="1"/>
  <c r="K18" i="1"/>
  <c r="K22" i="1"/>
  <c r="K52" i="1"/>
  <c r="K102" i="1"/>
  <c r="K21" i="1"/>
  <c r="K139" i="1"/>
  <c r="K92" i="1"/>
  <c r="K75" i="1"/>
  <c r="K19" i="1"/>
  <c r="K70" i="1"/>
  <c r="K45" i="1"/>
  <c r="K83" i="1"/>
  <c r="K94" i="1"/>
  <c r="K108" i="1"/>
  <c r="K28" i="1"/>
  <c r="K23" i="1"/>
  <c r="K26" i="1"/>
  <c r="K53" i="1"/>
  <c r="K99" i="1"/>
  <c r="K66" i="1"/>
  <c r="K51" i="1"/>
  <c r="K125" i="1"/>
  <c r="K140" i="1"/>
  <c r="K137" i="1"/>
  <c r="K80" i="1"/>
  <c r="K123" i="1"/>
  <c r="K65" i="1"/>
  <c r="K33" i="1"/>
  <c r="K36" i="1"/>
  <c r="K35" i="1"/>
  <c r="K64" i="1"/>
  <c r="K32" i="1"/>
  <c r="K120" i="1"/>
  <c r="K76" i="1"/>
  <c r="K68" i="1"/>
  <c r="K84" i="1"/>
  <c r="K101" i="1"/>
  <c r="K61" i="1"/>
  <c r="K29" i="1"/>
  <c r="K134" i="1"/>
  <c r="K111" i="1"/>
  <c r="K133" i="1"/>
  <c r="K50" i="1"/>
  <c r="K44" i="1"/>
  <c r="K128" i="1"/>
  <c r="K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tc={5FFC8634-4E9A-496C-9DCD-F949E5740996}</author>
  </authors>
  <commentList>
    <comment ref="B14" authorId="0" shapeId="0" xr:uid="{5FFC8634-4E9A-496C-9DCD-F949E574099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Nouvelles de Benjamin sur le contenu écrit ?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F4D73-B701-47B1-A643-202C7F15E506}" keepAlive="1" name="Requête - BDD_SUIVI_CHANTIERS" description="Connexion à la requête « BDD_SUIVI_CHANTIERS » dans le classeur." type="5" refreshedVersion="8" background="1" saveData="1">
    <dbPr connection="Provider=Microsoft.Mashup.OleDb.1;Data Source=$Workbook$;Location=BDD_SUIVI_CHANTIERS;Extended Properties=&quot;&quot;" command="SELECT * FROM [BDD_SUIVI_CHANTIERS]"/>
  </connection>
  <connection id="2" xr16:uid="{36287197-9524-4318-91BF-1AAB1213EC48}" keepAlive="1" name="Requête - DONNEES_SUIVI" description="Connexion à la requête « DONNEES_SUIVI » dans le classeur." type="5" refreshedVersion="0" background="1">
    <dbPr connection="Provider=Microsoft.Mashup.OleDb.1;Data Source=$Workbook$;Location=DONNEES_SUIVI;Extended Properties=&quot;&quot;" command="SELECT * FROM [DONNEES_SUIVI]"/>
  </connection>
  <connection id="3" xr16:uid="{273407B6-364C-4485-B0E2-8ED64DB29488}" keepAlive="1" name="Requête - SUIVI_CABANES_CARTON" description="Connexion à la requête « SUIVI_CABANES_CARTON » dans le classeur." type="5" refreshedVersion="8" background="1" saveData="1">
    <dbPr connection="Provider=Microsoft.Mashup.OleDb.1;Data Source=$Workbook$;Location=SUIVI_CABANES_CARTON;Extended Properties=&quot;&quot;" command="SELECT * FROM [SUIVI_CABANES_CARTON]"/>
  </connection>
  <connection id="4" xr16:uid="{6C13C432-C111-4364-8058-C350E0A56DE1}" keepAlive="1" name="Requête - SUIVI_CHANTIERS_PDR" description="Connexion à la requête « SUIVI_CHANTIERS_PDR » dans le classeur." type="5" refreshedVersion="0" background="1">
    <dbPr connection="Provider=Microsoft.Mashup.OleDb.1;Data Source=$Workbook$;Location=SUIVI_CHANTIERS_PDR;Extended Properties=&quot;&quot;" command="SELECT * FROM [SUIVI_CHANTIERS_PD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<sst xmlns="http://schemas.openxmlformats.org/spreadsheetml/2006/main" count="1944" uniqueCount="534">
  <si>
    <t>RÉTROPLANNING - Déploiement des dalles béton PAV / PDR</t>
  </si>
  <si>
    <t>Direction de la Maîtrise des Déchets - Normandie Cabourg Pays d'Auge</t>
  </si>
  <si>
    <t>Hypothèses : 1er coulage mi-août 2026, cadence 5 dalles/quinzaine</t>
  </si>
  <si>
    <t>PHASE</t>
  </si>
  <si>
    <t>ACTION</t>
  </si>
  <si>
    <t>2026</t>
  </si>
  <si>
    <t>2027</t>
  </si>
  <si>
    <t>Janv.</t>
  </si>
  <si>
    <t>Févr.</t>
  </si>
  <si>
    <t>Mars</t>
  </si>
  <si>
    <t>Avr.</t>
  </si>
  <si>
    <t>Mai</t>
  </si>
  <si>
    <t>Juin</t>
  </si>
  <si>
    <t>Juil.</t>
  </si>
  <si>
    <t>Août</t>
  </si>
  <si>
    <t>Sept.</t>
  </si>
  <si>
    <t>Oct.</t>
  </si>
  <si>
    <t>Nov.</t>
  </si>
  <si>
    <t>Déc.</t>
  </si>
  <si>
    <t>PILOTAGE &amp; SUIVI</t>
  </si>
  <si>
    <t>Validation de la méthodologie (direction DMD)</t>
  </si>
  <si>
    <t>Priorisation des 150 sites (très urgent / urgent / fil de l'eau)</t>
  </si>
  <si>
    <t>Tableau de suivi des sites ; en continu</t>
  </si>
  <si>
    <t>Reporting DGA / DGS / Présidente (outil de suivi en préparation ; stats + carte + avancé, concentrée sur les chantiers)</t>
  </si>
  <si>
    <t>CADRAGE COMMUNES</t>
  </si>
  <si>
    <t>Rencontres élus &amp; validation emplacements  : vague prioritaire</t>
  </si>
  <si>
    <t>Rencontres élus &amp; validation : vague urgente (littoral)</t>
  </si>
  <si>
    <t>Rencontres élus &amp; validation -au fil de l'eau</t>
  </si>
  <si>
    <t>CONVENTIONS &amp; AUTORISATIONS</t>
  </si>
  <si>
    <t>Modèle de convention (rédaction + validation juridique)</t>
  </si>
  <si>
    <t>Délibérations conseils -vague prioritaire (8–12 sem.)</t>
  </si>
  <si>
    <t>Délibérations conseils -vague urgente</t>
  </si>
  <si>
    <t>Délibérations conseils -au fil de l'eau (sites restants)</t>
  </si>
  <si>
    <t>CERFA 14023 (interventions sur voirie), en parallèle des DT-DICT</t>
  </si>
  <si>
    <t>DÉCLARATIONS RÉSEAUX (DT-DICT)</t>
  </si>
  <si>
    <t>Pré-consultation réseaux (Mapeo / consultations préalables sur présence évidentes de réseaux)</t>
  </si>
  <si>
    <t>Dépôt DT-DICT conjointes  : vague prioritaire</t>
  </si>
  <si>
    <t>Dépôt DT-DICT  : vague urgente</t>
  </si>
  <si>
    <t>Dépôt DT-DICT  : au fil de l'eau</t>
  </si>
  <si>
    <t>Récépissés + marquage-piquetage (réseaux 2 m), préparation signalisation travaux</t>
  </si>
  <si>
    <t>APPROVISION- NEMENT (MARCHÉS)</t>
  </si>
  <si>
    <t>Marché approvisionnement béton (gré à gré, bornes, cabanes, PDR)</t>
  </si>
  <si>
    <t>Marché claustras bois (PDR)</t>
  </si>
  <si>
    <t>Bons de commande matériaux (par vague)</t>
  </si>
  <si>
    <t>RÉALISATION EN RÉGIE</t>
  </si>
  <si>
    <t>Coulage des dalles : vague prioritaire</t>
  </si>
  <si>
    <t>Coulage des dalles : vague urgente</t>
  </si>
  <si>
    <t>Coulage des dalles : au fil de l'eau</t>
  </si>
  <si>
    <t>Séchage (7 j) + pose des équipements</t>
  </si>
  <si>
    <t>RÉCEPTION &amp; MISE EN SERVICE</t>
  </si>
  <si>
    <t>PV de réception + mise en service (continu)</t>
  </si>
  <si>
    <t>LÉGENDE</t>
  </si>
  <si>
    <t>APPROVISIONNEMENT (MARCHÉS)</t>
  </si>
  <si>
    <t>RÉTROPLANNING - Déploiement PAV / PDR (NCPA)</t>
  </si>
  <si>
    <t xml:space="preserve">Les dates se recalculent automatiquement en fonction des arguments dans les cellules à fond jaune. </t>
  </si>
  <si>
    <t>PARAMÈTRES</t>
  </si>
  <si>
    <t>Date de départ (1er coulage)</t>
  </si>
  <si>
    <t xml:space="preserve">=&gt; ajustable, selon date de départ des chantiers et accord préalable des communes (suppose d'avoir le modèle de convention). </t>
  </si>
  <si>
    <t>Cadence : dalles par quinzaine (15 j)</t>
  </si>
  <si>
    <t>4 à 5 selon capacité de l'équipe</t>
  </si>
  <si>
    <t>=&gt; soit 1 dalle tous les … jours</t>
  </si>
  <si>
    <t>Délais (jours calendaires) — chacun ajustable</t>
  </si>
  <si>
    <t>Validation emplacements =&gt; convention signée</t>
  </si>
  <si>
    <t>délibérations conseils (8–12 sem.)</t>
  </si>
  <si>
    <t>Convention signée =&gt; dépôt DT-DICT</t>
  </si>
  <si>
    <t>Dépôt DT-DICT =&gt; récépissés</t>
  </si>
  <si>
    <t>réponse exploitants ≤ 9 j ouvrés</t>
  </si>
  <si>
    <t>Marge récépissés =&gt; coulage</t>
  </si>
  <si>
    <t>Séchage béton =&gt; mise en service</t>
  </si>
  <si>
    <t>jours minimum</t>
  </si>
  <si>
    <t>Délai amont total (rencontre =&gt; coulage)</t>
  </si>
  <si>
    <t>Aujourd'hui (pour les alertes)</t>
  </si>
  <si>
    <t>CALENDRIER  P=préparation   C=coulage</t>
  </si>
  <si>
    <t>Rang</t>
  </si>
  <si>
    <t>Prio.</t>
  </si>
  <si>
    <t>Commune</t>
  </si>
  <si>
    <t>Type chantier</t>
  </si>
  <si>
    <t>Coulage prévu</t>
  </si>
  <si>
    <t>Récépissés DT-DICT
au plus tard</t>
  </si>
  <si>
    <t>Dépôt DT-DICT
au plus tard</t>
  </si>
  <si>
    <t>Convention signée
au plus tard</t>
  </si>
  <si>
    <t>Rencontre élus / valid.
au plus tard (1re action)</t>
  </si>
  <si>
    <t>Mise en service
prévue</t>
  </si>
  <si>
    <t>Statut amont</t>
  </si>
  <si>
    <t>Angerville</t>
  </si>
  <si>
    <t>Dalle PDR</t>
  </si>
  <si>
    <t>Dozulé</t>
  </si>
  <si>
    <t>Dalle borne à verre</t>
  </si>
  <si>
    <t>Gonneville-sur-Mer</t>
  </si>
  <si>
    <t>Rumesnil</t>
  </si>
  <si>
    <t>Sallenelles</t>
  </si>
  <si>
    <t>Dalle cabane à cartons</t>
  </si>
  <si>
    <t>Victot-Pontfol</t>
  </si>
  <si>
    <t>Cresseveuille</t>
  </si>
  <si>
    <t>Cricqueville-en-Auge</t>
  </si>
  <si>
    <t>Douville-en-Auge</t>
  </si>
  <si>
    <t>Gonneville-en-Auge</t>
  </si>
  <si>
    <t>Goustranville</t>
  </si>
  <si>
    <t>Grangues</t>
  </si>
  <si>
    <t>Basseneville</t>
  </si>
  <si>
    <t>Beaufour-Druval</t>
  </si>
  <si>
    <t>Beuvron-en-Auge</t>
  </si>
  <si>
    <t>Brucourt</t>
  </si>
  <si>
    <t>Putot-en-Auge</t>
  </si>
  <si>
    <t>Saint-Jouin</t>
  </si>
  <si>
    <t>Amfreville</t>
  </si>
  <si>
    <t>Auberville</t>
  </si>
  <si>
    <t>Bavent</t>
  </si>
  <si>
    <t>Bréville-les-Monts</t>
  </si>
  <si>
    <t>Cabourg</t>
  </si>
  <si>
    <t>Dives-sur-Mer</t>
  </si>
  <si>
    <t>Heuland</t>
  </si>
  <si>
    <t>Houlgate</t>
  </si>
  <si>
    <t>Merville-Franceville-Plage</t>
  </si>
  <si>
    <t>Ranville</t>
  </si>
  <si>
    <t>Saint-Léger-Dubosq</t>
  </si>
  <si>
    <t>Saint-Vaast-en-Auge</t>
  </si>
  <si>
    <t>Varaville</t>
  </si>
  <si>
    <t>Dalles coulées / mois =&gt;</t>
  </si>
  <si>
    <t>Code INSEE</t>
  </si>
  <si>
    <t>Nom commune</t>
  </si>
  <si>
    <t>Chantiers cabanes</t>
  </si>
  <si>
    <t>Chantiers colonnes à verre</t>
  </si>
  <si>
    <t>Chantiers PDR</t>
  </si>
  <si>
    <t>TOTAL</t>
  </si>
  <si>
    <t>NIVEAU DE PRIORITÉ</t>
  </si>
  <si>
    <t>RENCONTRE FORMELLE</t>
  </si>
  <si>
    <t>SOLUTIONS VALIDÉES</t>
  </si>
  <si>
    <t>SIGNATURE CONVENTION</t>
  </si>
  <si>
    <t>Escoville</t>
  </si>
  <si>
    <t>Hérouvillette</t>
  </si>
  <si>
    <t>Hotot-en-Auge</t>
  </si>
  <si>
    <t>Périers-en-Auge</t>
  </si>
  <si>
    <t>Petiville</t>
  </si>
  <si>
    <t>Saint-Samson</t>
  </si>
  <si>
    <t>Touffréville</t>
  </si>
  <si>
    <t>Victot-en-Auge</t>
  </si>
  <si>
    <t>latitude</t>
  </si>
  <si>
    <t>longitude</t>
  </si>
  <si>
    <t>Aperçu Google Maps</t>
  </si>
  <si>
    <t>Niveau de priorité (1 : priorité max)</t>
  </si>
  <si>
    <t>Convention retournée signée</t>
  </si>
  <si>
    <t>Implantation validée par commune
Oui/ Non
Courier / mail</t>
  </si>
  <si>
    <t>DT-DICT
Réalisée
Oui / non</t>
  </si>
  <si>
    <t>Retour DT-DICT
Vérification emprise sous sol</t>
  </si>
  <si>
    <t>Validation NCPA / Commune
= arrete de circulation /travaux</t>
  </si>
  <si>
    <t>Communication
NCPA
+
Panneaux signalisation sur site</t>
  </si>
  <si>
    <t>Début travaux</t>
  </si>
  <si>
    <t>Fin travaux</t>
  </si>
  <si>
    <t>Mise en place équipements</t>
  </si>
  <si>
    <t>49.25566199427314</t>
  </si>
  <si>
    <t xml:space="preserve"> -0.22938853639403137</t>
  </si>
  <si>
    <t>49.24970995591638</t>
  </si>
  <si>
    <t xml:space="preserve"> -0.23556659122746876</t>
  </si>
  <si>
    <t>49.30771517</t>
  </si>
  <si>
    <t>-0.03637513</t>
  </si>
  <si>
    <t>49.23489736377922</t>
  </si>
  <si>
    <t xml:space="preserve"> -0.14660517272742066</t>
  </si>
  <si>
    <t>49.23835257305759</t>
  </si>
  <si>
    <t xml:space="preserve"> -0.18889293695664308</t>
  </si>
  <si>
    <t>49.24471428769877</t>
  </si>
  <si>
    <t xml:space="preserve"> -0.10471671057294427</t>
  </si>
  <si>
    <t>49.28938402033412</t>
  </si>
  <si>
    <t xml:space="preserve"> -0.12674304087854937</t>
  </si>
  <si>
    <t>49.29424072245121</t>
  </si>
  <si>
    <t xml:space="preserve"> -0.10623969812685341</t>
  </si>
  <si>
    <t>49.27983237332137</t>
  </si>
  <si>
    <t xml:space="preserve"> -0.09823286146899714</t>
  </si>
  <si>
    <t>49.279811853733904</t>
  </si>
  <si>
    <t xml:space="preserve"> -0.0982393971911464</t>
  </si>
  <si>
    <t>49.29308024569457</t>
  </si>
  <si>
    <t xml:space="preserve"> -0.0965996815861622</t>
  </si>
  <si>
    <t>49.28126567809827</t>
  </si>
  <si>
    <t xml:space="preserve"> -0.09237319765539634</t>
  </si>
  <si>
    <t>49.23361966795088</t>
  </si>
  <si>
    <t xml:space="preserve"> -0.049846803803620096</t>
  </si>
  <si>
    <t>49.30481322598841</t>
  </si>
  <si>
    <t xml:space="preserve"> -0.05778662669533739</t>
  </si>
  <si>
    <t>49.283640392872705</t>
  </si>
  <si>
    <t xml:space="preserve"> -0.18858807269771208</t>
  </si>
  <si>
    <t>49.282047292669496</t>
  </si>
  <si>
    <t xml:space="preserve"> -0.20541323874820994</t>
  </si>
  <si>
    <t>49.28206352793798</t>
  </si>
  <si>
    <t xml:space="preserve"> -0.2054013182976707</t>
  </si>
  <si>
    <t>49.21778458290554</t>
  </si>
  <si>
    <t xml:space="preserve"> -0.2819500579137171</t>
  </si>
  <si>
    <t>49.18610891146093</t>
  </si>
  <si>
    <t xml:space="preserve"> 0.03553315452669501</t>
  </si>
  <si>
    <t>49.28914895086987</t>
  </si>
  <si>
    <t xml:space="preserve"> 0.0016159300596542358</t>
  </si>
  <si>
    <t>49.265003975081655</t>
  </si>
  <si>
    <t xml:space="preserve"> -0.22611067614236424</t>
  </si>
  <si>
    <t>49.28466583871749</t>
  </si>
  <si>
    <t xml:space="preserve"> -0.1580206465866003</t>
  </si>
  <si>
    <t>49.1729147854973</t>
  </si>
  <si>
    <t xml:space="preserve"> -0.018277632373220002</t>
  </si>
  <si>
    <t>49.25562438639887</t>
  </si>
  <si>
    <t xml:space="preserve"> -0.22937048501071255</t>
  </si>
  <si>
    <t>49.26292162057444</t>
  </si>
  <si>
    <t xml:space="preserve"> -0.02560165758868783</t>
  </si>
  <si>
    <t>49.25925414688828</t>
  </si>
  <si>
    <t xml:space="preserve"> -0.03461446299042841</t>
  </si>
  <si>
    <t>49.221084181777954</t>
  </si>
  <si>
    <t xml:space="preserve"> -0.07562742766276201</t>
  </si>
  <si>
    <t>49.264999149825904</t>
  </si>
  <si>
    <t xml:space="preserve"> -0.22614302048322546</t>
  </si>
  <si>
    <t>49.259837345103605</t>
  </si>
  <si>
    <t xml:space="preserve"> -0.19400437323016223</t>
  </si>
  <si>
    <t>49.296459417812216</t>
  </si>
  <si>
    <t xml:space="preserve"> -0.011719298602490874</t>
  </si>
  <si>
    <t>49.28131233688149</t>
  </si>
  <si>
    <t xml:space="preserve"> -0.06498531070337203</t>
  </si>
  <si>
    <t>49.29825875109513</t>
  </si>
  <si>
    <t xml:space="preserve"> -0.05468906257289417</t>
  </si>
  <si>
    <t>49.249052346825934</t>
  </si>
  <si>
    <t xml:space="preserve"> -0.23480492949435036</t>
  </si>
  <si>
    <t>49.31762117435177</t>
  </si>
  <si>
    <t xml:space="preserve"> -0.015299902973347072</t>
  </si>
  <si>
    <t>49.206777</t>
  </si>
  <si>
    <t>-0.032260</t>
  </si>
  <si>
    <t>49.25131743180436</t>
  </si>
  <si>
    <t xml:space="preserve"> -0.18868645898233616</t>
  </si>
  <si>
    <t>49.22913127846012</t>
  </si>
  <si>
    <t xml:space="preserve"> -0.04684122951583171</t>
  </si>
  <si>
    <t>49.162830781875286</t>
  </si>
  <si>
    <t xml:space="preserve"> -0.016482885130563795</t>
  </si>
  <si>
    <t>49.16015134123915</t>
  </si>
  <si>
    <t xml:space="preserve"> -0.012098838971738815</t>
  </si>
  <si>
    <t>49.15227122363916</t>
  </si>
  <si>
    <t xml:space="preserve"> -0.006458452353706777</t>
  </si>
  <si>
    <t>49.26458402507549</t>
  </si>
  <si>
    <t xml:space="preserve"> -0.22684179451805833</t>
  </si>
  <si>
    <t>49.23186249899733</t>
  </si>
  <si>
    <t xml:space="preserve"> -0.04595250406602712</t>
  </si>
  <si>
    <t>49.22958086528844</t>
  </si>
  <si>
    <t xml:space="preserve"> -0.0444975878721113</t>
  </si>
  <si>
    <t>49.25556363891102</t>
  </si>
  <si>
    <t xml:space="preserve"> -0.13342002261110422</t>
  </si>
  <si>
    <t>49.21780169594783</t>
  </si>
  <si>
    <t xml:space="preserve"> -0.09841021053886023</t>
  </si>
  <si>
    <t>49.2833384235042</t>
  </si>
  <si>
    <t xml:space="preserve"> -0.1689880342290415</t>
  </si>
  <si>
    <t>49.23501849598916</t>
  </si>
  <si>
    <t xml:space="preserve"> -0.036048885810860805</t>
  </si>
  <si>
    <t>49.29484206368111</t>
  </si>
  <si>
    <t xml:space="preserve"> -0.07850865880602453</t>
  </si>
  <si>
    <t>49.2944952090771</t>
  </si>
  <si>
    <t xml:space="preserve"> -0.07417873417733177</t>
  </si>
  <si>
    <t>49.299956846277325</t>
  </si>
  <si>
    <t xml:space="preserve"> -0.08072683921302735</t>
  </si>
  <si>
    <t>49.304374631776945</t>
  </si>
  <si>
    <t xml:space="preserve"> -0.07339988238591548</t>
  </si>
  <si>
    <t>49.257666431270266</t>
  </si>
  <si>
    <t xml:space="preserve"> -0.14299213816939507</t>
  </si>
  <si>
    <t>code_insee</t>
  </si>
  <si>
    <t>commune</t>
  </si>
  <si>
    <t>type</t>
  </si>
  <si>
    <t>a_faire</t>
  </si>
  <si>
    <t>DALLE A FAIRE</t>
  </si>
  <si>
    <t>49.2400787</t>
  </si>
  <si>
    <t xml:space="preserve"> -0.0191979</t>
  </si>
  <si>
    <t>49.244207</t>
  </si>
  <si>
    <t xml:space="preserve"> -0.0395653</t>
  </si>
  <si>
    <t>49.2481283</t>
  </si>
  <si>
    <t xml:space="preserve"> -0.0366497</t>
  </si>
  <si>
    <t>49.3065861</t>
  </si>
  <si>
    <t xml:space="preserve"> -0.0288498</t>
  </si>
  <si>
    <t>49.3131595</t>
  </si>
  <si>
    <t xml:space="preserve"> -0.0219499</t>
  </si>
  <si>
    <t>49.21135</t>
  </si>
  <si>
    <t xml:space="preserve"> -0.1158996</t>
  </si>
  <si>
    <t>49.2348809</t>
  </si>
  <si>
    <t xml:space="preserve"> -0.1450995</t>
  </si>
  <si>
    <t>49.2347951</t>
  </si>
  <si>
    <t xml:space="preserve"> -0.1484656</t>
  </si>
  <si>
    <t>49.2321592</t>
  </si>
  <si>
    <t xml:space="preserve"> -0.1931164</t>
  </si>
  <si>
    <t>49.229637</t>
  </si>
  <si>
    <t xml:space="preserve"> -0.1872584</t>
  </si>
  <si>
    <t>49.2305566</t>
  </si>
  <si>
    <t xml:space="preserve"> -0.1973569</t>
  </si>
  <si>
    <t>49.2198913</t>
  </si>
  <si>
    <t xml:space="preserve"> 0.0180459</t>
  </si>
  <si>
    <t>49.2031245</t>
  </si>
  <si>
    <t xml:space="preserve"> -0.0194098</t>
  </si>
  <si>
    <t>49.206794</t>
  </si>
  <si>
    <t xml:space="preserve"> -0.0322616</t>
  </si>
  <si>
    <t>49.2243252</t>
  </si>
  <si>
    <t xml:space="preserve"> -0.2265394</t>
  </si>
  <si>
    <t>49.2458941</t>
  </si>
  <si>
    <t xml:space="preserve"> -0.1005694</t>
  </si>
  <si>
    <t>49.2446299</t>
  </si>
  <si>
    <t xml:space="preserve"> -0.1047993</t>
  </si>
  <si>
    <t>49.2552216</t>
  </si>
  <si>
    <t xml:space="preserve"> -0.0935085</t>
  </si>
  <si>
    <t>49.2906797</t>
  </si>
  <si>
    <t xml:space="preserve"> -0.1094972</t>
  </si>
  <si>
    <t>49.2905266</t>
  </si>
  <si>
    <t xml:space="preserve"> -0.1155201</t>
  </si>
  <si>
    <t>49.2396996</t>
  </si>
  <si>
    <t xml:space="preserve"> 0.0281256</t>
  </si>
  <si>
    <t>49.2504981</t>
  </si>
  <si>
    <t xml:space="preserve"> -0.0629809</t>
  </si>
  <si>
    <t>49.2894009</t>
  </si>
  <si>
    <t xml:space="preserve"> -0.0954102</t>
  </si>
  <si>
    <t>49.2824044</t>
  </si>
  <si>
    <t xml:space="preserve"> -0.0959399</t>
  </si>
  <si>
    <t>49.2819389</t>
  </si>
  <si>
    <t xml:space="preserve"> -0.0914821</t>
  </si>
  <si>
    <t>49.2887483</t>
  </si>
  <si>
    <t xml:space="preserve"> -0.0964549</t>
  </si>
  <si>
    <t>49.2639732</t>
  </si>
  <si>
    <t xml:space="preserve"> -0.0102903</t>
  </si>
  <si>
    <t>49.2591368</t>
  </si>
  <si>
    <t xml:space="preserve"> -0.0063676</t>
  </si>
  <si>
    <t>49.2744908</t>
  </si>
  <si>
    <t xml:space="preserve"> -0.0135411</t>
  </si>
  <si>
    <t>0</t>
  </si>
  <si>
    <t/>
  </si>
  <si>
    <t>49.2262862</t>
  </si>
  <si>
    <t xml:space="preserve"> -0.0363922</t>
  </si>
  <si>
    <t>49.2235272</t>
  </si>
  <si>
    <t xml:space="preserve"> -0.0429368</t>
  </si>
  <si>
    <t>49.2336129</t>
  </si>
  <si>
    <t xml:space="preserve"> -0.049873</t>
  </si>
  <si>
    <t>49.2281552</t>
  </si>
  <si>
    <t xml:space="preserve"> -0.0409721</t>
  </si>
  <si>
    <t>49.2308675</t>
  </si>
  <si>
    <t xml:space="preserve"> -0.0452489</t>
  </si>
  <si>
    <t>49.22720999872636</t>
  </si>
  <si>
    <t xml:space="preserve"> -0.04248176650664557</t>
  </si>
  <si>
    <t>49.2509682</t>
  </si>
  <si>
    <t xml:space="preserve"> -0.1937762</t>
  </si>
  <si>
    <t>49.29288803188187</t>
  </si>
  <si>
    <t xml:space="preserve"> -0.043396015846523056</t>
  </si>
  <si>
    <t>49.2828881</t>
  </si>
  <si>
    <t xml:space="preserve"> -0.0139663</t>
  </si>
  <si>
    <t>49.2859596</t>
  </si>
  <si>
    <t xml:space="preserve"> -0.0412631</t>
  </si>
  <si>
    <t>49.2700973</t>
  </si>
  <si>
    <t xml:space="preserve"> -0.0352885</t>
  </si>
  <si>
    <t>49.2875088</t>
  </si>
  <si>
    <t xml:space="preserve"> -0.0424567</t>
  </si>
  <si>
    <t>49.26612615423531</t>
  </si>
  <si>
    <t xml:space="preserve"> -0.0823053498976165</t>
  </si>
  <si>
    <t>49.2763151</t>
  </si>
  <si>
    <t xml:space="preserve"> -0.0654915</t>
  </si>
  <si>
    <t>49.25905843312884</t>
  </si>
  <si>
    <t xml:space="preserve"> -0.05074849461745545</t>
  </si>
  <si>
    <t>49.2592847</t>
  </si>
  <si>
    <t xml:space="preserve"> -0.0415662</t>
  </si>
  <si>
    <t>49.2659712</t>
  </si>
  <si>
    <t xml:space="preserve"> -0.0646614</t>
  </si>
  <si>
    <t>49.2577836</t>
  </si>
  <si>
    <t xml:space="preserve"> -0.0030953</t>
  </si>
  <si>
    <t>49.2994049</t>
  </si>
  <si>
    <t xml:space="preserve"> -0.0838257</t>
  </si>
  <si>
    <t>49.2876584</t>
  </si>
  <si>
    <t xml:space="preserve"> -0.0830063</t>
  </si>
  <si>
    <t>49.294539237574405</t>
  </si>
  <si>
    <t xml:space="preserve"> -0.07897841397117843</t>
  </si>
  <si>
    <t>49.2952025</t>
  </si>
  <si>
    <t xml:space="preserve"> -0.0566013</t>
  </si>
  <si>
    <t>49.2976129</t>
  </si>
  <si>
    <t xml:space="preserve"> -0.0523822</t>
  </si>
  <si>
    <t>49.2589267</t>
  </si>
  <si>
    <t xml:space="preserve"> -0.2226985</t>
  </si>
  <si>
    <t>49.2156602</t>
  </si>
  <si>
    <t xml:space="preserve"> -0.2889356</t>
  </si>
  <si>
    <t>49.1861083</t>
  </si>
  <si>
    <t xml:space="preserve"> 0.0355218</t>
  </si>
  <si>
    <t>49.1824292</t>
  </si>
  <si>
    <t xml:space="preserve"> 0.0172922</t>
  </si>
  <si>
    <t>49.2136874</t>
  </si>
  <si>
    <t xml:space="preserve"> -0.0287721</t>
  </si>
  <si>
    <t>49.22458</t>
  </si>
  <si>
    <t xml:space="preserve"> 0.004144</t>
  </si>
  <si>
    <t>49.2234755</t>
  </si>
  <si>
    <t xml:space="preserve"> -0.0037336</t>
  </si>
  <si>
    <t>49.2629037</t>
  </si>
  <si>
    <t xml:space="preserve"> -0.2301751</t>
  </si>
  <si>
    <t>49.250443945935814</t>
  </si>
  <si>
    <t xml:space="preserve"> -0.1604987957756823</t>
  </si>
  <si>
    <t>49.2840753</t>
  </si>
  <si>
    <t xml:space="preserve"> -0.1552194</t>
  </si>
  <si>
    <t>49.2838172</t>
  </si>
  <si>
    <t xml:space="preserve"> -0.1457231</t>
  </si>
  <si>
    <t>49.2547524</t>
  </si>
  <si>
    <t xml:space="preserve"> -0.1512149</t>
  </si>
  <si>
    <t>49.1928515263001</t>
  </si>
  <si>
    <t xml:space="preserve"> -0.0050519618974088016</t>
  </si>
  <si>
    <t>le niveau de priorité est à retrouver dans le fichier de préparation du dashboard</t>
  </si>
  <si>
    <t>49.17289832707203</t>
  </si>
  <si>
    <t xml:space="preserve"> -0.018312847925501575</t>
  </si>
  <si>
    <t>49.25049652130896</t>
  </si>
  <si>
    <t xml:space="preserve"> -0.06291898739405613</t>
  </si>
  <si>
    <t>49.21497388373563</t>
  </si>
  <si>
    <t xml:space="preserve"> 0.021471329987151584</t>
  </si>
  <si>
    <t>49.292704990188746</t>
  </si>
  <si>
    <t xml:space="preserve"> -0.08016420280405341</t>
  </si>
  <si>
    <t>49.21965545601737</t>
  </si>
  <si>
    <t xml:space="preserve"> -0.016808597100771826</t>
  </si>
  <si>
    <t>49.16536420807095</t>
  </si>
  <si>
    <t xml:space="preserve"> 0.0031910194201919414</t>
  </si>
  <si>
    <t>Zone</t>
  </si>
  <si>
    <t>Communes</t>
  </si>
  <si>
    <t>Littoral</t>
  </si>
  <si>
    <t>Campagne Sud</t>
  </si>
  <si>
    <t>Campagne Caen</t>
  </si>
  <si>
    <t>Campagne centre</t>
  </si>
  <si>
    <t>Chantiers</t>
  </si>
  <si>
    <t>49.28669799293465</t>
  </si>
  <si>
    <t xml:space="preserve"> -0.1120432138904809</t>
  </si>
  <si>
    <t>49.282596795045436</t>
  </si>
  <si>
    <t xml:space="preserve"> -0.11971317218487827</t>
  </si>
  <si>
    <t>49.233704768397914</t>
  </si>
  <si>
    <t xml:space="preserve"> -0.0500232074070623</t>
  </si>
  <si>
    <t>49.23177507654163</t>
  </si>
  <si>
    <t xml:space="preserve"> -0.04427842285725417</t>
  </si>
  <si>
    <t>49.26070201771357</t>
  </si>
  <si>
    <t xml:space="preserve"> -0.19127903845914065</t>
  </si>
  <si>
    <t>EXISTANT / A CRÉER</t>
  </si>
  <si>
    <t>A AMÉNAGER</t>
  </si>
  <si>
    <t>49.2472318</t>
  </si>
  <si>
    <t xml:space="preserve"> -0.0129685</t>
  </si>
  <si>
    <t>A AGRANDIR</t>
  </si>
  <si>
    <t>A CRÉER</t>
  </si>
  <si>
    <t>49.2076913</t>
  </si>
  <si>
    <t xml:space="preserve"> -0.1189426</t>
  </si>
  <si>
    <t>49.199983</t>
  </si>
  <si>
    <t xml:space="preserve"> -0.1501742</t>
  </si>
  <si>
    <t>49.20935103640219</t>
  </si>
  <si>
    <t xml:space="preserve"> -0.15287255054911186</t>
  </si>
  <si>
    <t>49.230730058721775</t>
  </si>
  <si>
    <t xml:space="preserve"> -0.04459631849467809</t>
  </si>
  <si>
    <t>49.29988446178953</t>
  </si>
  <si>
    <t xml:space="preserve"> -0.05982123995887206</t>
  </si>
  <si>
    <t>A DÉPLACER</t>
  </si>
  <si>
    <t>A ÉTUDIER</t>
  </si>
  <si>
    <t>Priorité
(1=urgente à 3)</t>
  </si>
  <si>
    <t>Cabanes à cartons</t>
  </si>
  <si>
    <t>PDR</t>
  </si>
  <si>
    <t>Dalles borne à verre</t>
  </si>
  <si>
    <t>Priorité globale</t>
  </si>
  <si>
    <t>Pondérations (modifiables)</t>
  </si>
  <si>
    <t>Base - priorité historique 1</t>
  </si>
  <si>
    <t>Base - priorité historique 2</t>
  </si>
  <si>
    <t>Base - priorité historique 3</t>
  </si>
  <si>
    <t>Base - priorité historique 4</t>
  </si>
  <si>
    <t>Seuil classe P1 - Critique</t>
  </si>
  <si>
    <t>Seuil classe P2 - Haute</t>
  </si>
  <si>
    <t>Seuil classe P3 - Moyenne</t>
  </si>
  <si>
    <t>Score pondéré</t>
  </si>
  <si>
    <t>Bonus PDR : voir barème ci-dessous</t>
  </si>
  <si>
    <t>Barème PDR (nb de dalles PDR à créer)</t>
  </si>
  <si>
    <t>Nb de PDR ≥</t>
  </si>
  <si>
    <t>Bonus</t>
  </si>
  <si>
    <t>Bonus bornes à verre : voir barème ci-dessous</t>
  </si>
  <si>
    <t>Barème bornes à verre (nb de dalles à créer)</t>
  </si>
  <si>
    <t>Nb de bornes ≥</t>
  </si>
  <si>
    <t>Bonus cabanes à cartons : voir barème ci-dessous</t>
  </si>
  <si>
    <t>Barème cabanes à cartons (nb de dalles à créer)</t>
  </si>
  <si>
    <t>Nb de cabanes ≥</t>
  </si>
  <si>
    <t>ORDRE</t>
  </si>
  <si>
    <t>PRIORISATION DES COMMUNES — DALLES BÉTON</t>
  </si>
  <si>
    <t>Source : feuille Feuil2 (score pondéré et classes de priorité) et table BDD_SUIVI_CHANTIERS</t>
  </si>
  <si>
    <t>1. CLASSEMENT PAR SCORE DE PRIORITÉ</t>
  </si>
  <si>
    <t>Classe</t>
  </si>
  <si>
    <t>Bornes à verre</t>
  </si>
  <si>
    <t>Total dalles à créer</t>
  </si>
  <si>
    <t>2. VAGUES DE TRAVAUX PAR CLASSE DE PRIORITÉ</t>
  </si>
  <si>
    <t>Vague</t>
  </si>
  <si>
    <t>Nb communes</t>
  </si>
  <si>
    <t>Total dalles</t>
  </si>
  <si>
    <t>P1 - Critique</t>
  </si>
  <si>
    <t>P2 - Haute</t>
  </si>
  <si>
    <t>P3 - Moyenne</t>
  </si>
  <si>
    <t>P4 - Basse</t>
  </si>
  <si>
    <t>Communes par vague</t>
  </si>
  <si>
    <t>49.21779033943015</t>
  </si>
  <si>
    <t xml:space="preserve"> -0.2819560913042083</t>
  </si>
  <si>
    <t>49.302243628361495</t>
  </si>
  <si>
    <t xml:space="preserve"> -0.06986609035196993</t>
  </si>
  <si>
    <t>49.222611007790995</t>
  </si>
  <si>
    <t xml:space="preserve"> -0.02795375667878372</t>
  </si>
  <si>
    <t>Nombre de chantiers à réaliser par nature</t>
  </si>
  <si>
    <t>Détermination de la priorité</t>
  </si>
  <si>
    <t>49.30743072574444</t>
  </si>
  <si>
    <t xml:space="preserve"> -0.04299704903332074</t>
  </si>
  <si>
    <t>49.2935959</t>
  </si>
  <si>
    <t xml:space="preserve"> -0.0119519</t>
  </si>
  <si>
    <t>49.29147352020813</t>
  </si>
  <si>
    <t xml:space="preserve"> -0.02990099672911984</t>
  </si>
  <si>
    <t>49.24513</t>
  </si>
  <si>
    <t xml:space="preserve"> -0.20131</t>
  </si>
  <si>
    <t>49.24698</t>
  </si>
  <si>
    <t xml:space="preserve"> -0.00326</t>
  </si>
  <si>
    <t>49.26291</t>
  </si>
  <si>
    <t xml:space="preserve"> -0.02559</t>
  </si>
  <si>
    <t>49.288664970921296</t>
  </si>
  <si>
    <t xml:space="preserve"> -0.007120671085641827</t>
  </si>
  <si>
    <t>49.29294</t>
  </si>
  <si>
    <t xml:space="preserve"> -0.04829</t>
  </si>
  <si>
    <t>49.27806</t>
  </si>
  <si>
    <t xml:space="preserve"> -0.13368</t>
  </si>
  <si>
    <t>49.2822898</t>
  </si>
  <si>
    <t xml:space="preserve"> -0.119475</t>
  </si>
  <si>
    <t>49.2712375</t>
  </si>
  <si>
    <t xml:space="preserve"> -0.1876433</t>
  </si>
  <si>
    <t>49.22709487115593</t>
  </si>
  <si>
    <t xml:space="preserve"> -0.04823379090339059</t>
  </si>
  <si>
    <t>49.210131672560685</t>
  </si>
  <si>
    <t xml:space="preserve"> -0.23835679485422115</t>
  </si>
  <si>
    <t>49.25043545923873</t>
  </si>
  <si>
    <t xml:space="preserve"> -0.1897554517365692</t>
  </si>
  <si>
    <t>49.265584155325584</t>
  </si>
  <si>
    <t xml:space="preserve"> -0.056620502222822604</t>
  </si>
  <si>
    <t>49.290392184518254</t>
  </si>
  <si>
    <t xml:space="preserve"> -0.10346719231758088</t>
  </si>
  <si>
    <t>49.2724319</t>
  </si>
  <si>
    <t xml:space="preserve"> -0.0540277</t>
  </si>
  <si>
    <t>49.26790536510873</t>
  </si>
  <si>
    <t xml:space="preserve"> -0.05590027026478743</t>
  </si>
  <si>
    <t>49.262806168961625</t>
  </si>
  <si>
    <t xml:space="preserve"> -0.07378242105904796</t>
  </si>
  <si>
    <t>49.171809356230234</t>
  </si>
  <si>
    <t xml:space="preserve"> 0.007687174804642114</t>
  </si>
  <si>
    <t>Priorité type</t>
  </si>
  <si>
    <t>49.23393579016323</t>
  </si>
  <si>
    <t xml:space="preserve"> -0.0036251905269772257</t>
  </si>
  <si>
    <t>49.18846261113245</t>
  </si>
  <si>
    <t xml:space="preserve"> -0.04899986696358147</t>
  </si>
  <si>
    <t>49.18842466474889</t>
  </si>
  <si>
    <t xml:space="preserve"> -0.04898877950306013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</si>
</sst>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;\-"/>
  </numFmts>
  <fonts count="54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sz val="9"/>
      <color rgb="FF555555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sz val="9"/>
      <color rgb="FF777777"/>
      <name val="Calibri"/>
      <family val="2"/>
    </font>
    <font>
      <b/>
      <sz val="10"/>
      <color rgb="FF000000"/>
      <name val="Calibri"/>
      <family val="2"/>
    </font>
    <font>
      <b/>
      <sz val="10"/>
      <color rgb="FFB1B993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9"/>
      <color rgb="FF000000"/>
      <name val="Arial"/>
      <family val="2"/>
      <charset val="1"/>
    </font>
    <font>
      <b/>
      <u/>
      <sz val="11"/>
      <color rgb="FF00B0F0"/>
      <name val="Aptos Narrow"/>
      <family val="2"/>
      <charset val="1"/>
    </font>
    <font>
      <b/>
      <sz val="11"/>
      <name val="Aptos Narrow"/>
      <family val="2"/>
      <charset val="1"/>
    </font>
    <font>
      <b/>
      <sz val="12"/>
      <color rgb="FF000000"/>
      <name val="Aptos"/>
      <family val="2"/>
      <charset val="1"/>
    </font>
    <font>
      <sz val="11"/>
      <color theme="1"/>
      <name val="Aptos Narrow"/>
      <family val="2"/>
      <charset val="1"/>
    </font>
    <font>
      <b/>
      <sz val="9"/>
      <color rgb="FF000000"/>
      <name val="Calibri"/>
      <family val="2"/>
    </font>
    <font>
      <b/>
      <sz val="9"/>
      <color rgb="FFB91E27"/>
      <name val="Calibri"/>
      <family val="2"/>
    </font>
    <font>
      <sz val="9"/>
      <color rgb="FF777777"/>
      <name val="Calibri"/>
      <family val="2"/>
    </font>
    <font>
      <b/>
      <sz val="18"/>
      <color rgb="FFB91E27"/>
      <name val="Calibri"/>
      <family val="2"/>
    </font>
    <font>
      <sz val="10.5"/>
      <color rgb="FF595959"/>
      <name val="Calibri"/>
      <family val="2"/>
    </font>
    <font>
      <i/>
      <sz val="9"/>
      <color rgb="FF80808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sz val="8.5"/>
      <color rgb="FFFFFFFF"/>
      <name val="Calibri"/>
      <family val="2"/>
    </font>
    <font>
      <sz val="9"/>
      <color rgb="FF2B2B2B"/>
      <name val="Calibri"/>
      <family val="2"/>
    </font>
    <font>
      <b/>
      <sz val="8.5"/>
      <color rgb="FF2B2B2B"/>
      <name val="Calibri"/>
      <family val="2"/>
    </font>
    <font>
      <b/>
      <sz val="10"/>
      <color rgb="FFB91E27"/>
      <name val="Calibri"/>
      <family val="2"/>
    </font>
    <font>
      <b/>
      <sz val="8.5"/>
      <color rgb="FF595959"/>
      <name val="Calibri"/>
      <family val="2"/>
    </font>
    <font>
      <sz val="8.5"/>
      <color rgb="FF2B2B2B"/>
      <name val="Calibri"/>
      <family val="2"/>
    </font>
    <font>
      <i/>
      <sz val="8.5"/>
      <color rgb="FF2B2B2B"/>
      <name val="Calibri"/>
      <family val="2"/>
    </font>
    <font>
      <b/>
      <sz val="9"/>
      <color rgb="FFB91E27"/>
      <name val="Calibri"/>
      <family val="2"/>
    </font>
    <font>
      <b/>
      <sz val="11"/>
      <color theme="1"/>
      <name val="Aptos Narrow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FF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9"/>
      <color theme="1"/>
      <name val="Arial"/>
      <family val="2"/>
    </font>
    <font>
      <i/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6"/>
      <color rgb="FF1F3864"/>
      <name val="Aptos Narrow"/>
      <family val="2"/>
      <charset val="1"/>
    </font>
    <font>
      <i/>
      <sz val="9"/>
      <color rgb="FF808080"/>
      <name val="Aptos Narrow"/>
      <family val="2"/>
      <charset val="1"/>
    </font>
    <font>
      <b/>
      <sz val="13"/>
      <color rgb="FFFFFFFF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b/>
      <sz val="11"/>
      <color rgb="FF1F3864"/>
      <name val="Aptos Narrow"/>
      <family val="2"/>
      <charset val="1"/>
    </font>
    <font>
      <sz val="8"/>
      <name val="Aptos Narrow"/>
      <family val="2"/>
      <charset val="1"/>
    </font>
    <font>
      <b/>
      <sz val="12"/>
      <color theme="1"/>
      <name val="Aptos Narrow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rgb="FFB91E27"/>
        <bgColor rgb="FF993366"/>
      </patternFill>
    </fill>
    <fill>
      <patternFill patternType="solid">
        <fgColor rgb="FFB1B993"/>
        <bgColor rgb="FF969696"/>
      </patternFill>
    </fill>
    <fill>
      <patternFill patternType="solid">
        <fgColor rgb="FFFFF2CC"/>
        <bgColor rgb="FFF5F0E8"/>
      </patternFill>
    </fill>
    <fill>
      <patternFill patternType="solid">
        <fgColor rgb="FFF2F2F2"/>
        <bgColor rgb="FFF5F0E8"/>
      </patternFill>
    </fill>
    <fill>
      <patternFill patternType="solid">
        <fgColor rgb="FF1B5E20"/>
        <bgColor rgb="FF333333"/>
      </patternFill>
    </fill>
    <fill>
      <patternFill patternType="solid">
        <fgColor rgb="FFF5F0E8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B1B993"/>
      </patternFill>
    </fill>
    <fill>
      <patternFill patternType="solid">
        <fgColor rgb="FF00B050"/>
        <bgColor rgb="FF008080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2B2B2B"/>
      </patternFill>
    </fill>
    <fill>
      <patternFill patternType="solid">
        <fgColor rgb="FF595959"/>
      </patternFill>
    </fill>
    <fill>
      <patternFill patternType="solid">
        <fgColor rgb="FFB91E27"/>
      </patternFill>
    </fill>
    <fill>
      <patternFill patternType="solid">
        <fgColor rgb="FFE3A5A9"/>
      </patternFill>
    </fill>
    <fill>
      <patternFill patternType="solid">
        <fgColor rgb="FF5B7B9A"/>
      </patternFill>
    </fill>
    <fill>
      <patternFill patternType="solid">
        <fgColor rgb="FFC77F2E"/>
      </patternFill>
    </fill>
    <fill>
      <patternFill patternType="solid">
        <fgColor rgb="FFE9CCAB"/>
      </patternFill>
    </fill>
    <fill>
      <patternFill patternType="solid">
        <fgColor rgb="FF4F7E6E"/>
      </patternFill>
    </fill>
    <fill>
      <patternFill patternType="solid">
        <fgColor rgb="FFB9CBC5"/>
      </patternFill>
    </fill>
    <fill>
      <patternFill patternType="solid">
        <fgColor rgb="FF8C7B6B"/>
      </patternFill>
    </fill>
    <fill>
      <patternFill patternType="solid">
        <fgColor rgb="FFD1CAC4"/>
      </patternFill>
    </fill>
    <fill>
      <patternFill patternType="solid">
        <fgColor rgb="FFB1B993"/>
      </patternFill>
    </fill>
    <fill>
      <patternFill patternType="solid">
        <fgColor rgb="FFE0E3D4"/>
      </patternFill>
    </fill>
    <fill>
      <patternFill patternType="solid">
        <fgColor rgb="FF7A5C7E"/>
      </patternFill>
    </fill>
    <fill>
      <patternFill patternType="solid">
        <fgColor rgb="FFCABECB"/>
      </patternFill>
    </fill>
    <fill>
      <patternFill patternType="solid">
        <fgColor rgb="FF283593"/>
      </patternFill>
    </fill>
    <fill>
      <patternFill patternType="solid">
        <fgColor rgb="FFFFC000"/>
        <bgColor indexed="64"/>
      </patternFill>
    </fill>
    <fill>
      <patternFill patternType="solid">
        <fgColor rgb="FFB71C1C"/>
      </patternFill>
    </fill>
    <fill>
      <patternFill patternType="solid">
        <fgColor rgb="FFFFFFFF"/>
      </patternFill>
    </fill>
    <fill>
      <patternFill patternType="solid">
        <fgColor rgb="FFF5F0E8"/>
      </patternFill>
    </fill>
    <fill>
      <patternFill patternType="solid">
        <fgColor rgb="FF2835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</fills>
  <borders count="3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rgb="FF9C9C9C"/>
      </left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 style="medium">
        <color theme="0" tint="-0.34998626667073579"/>
      </left>
      <right style="thin">
        <color rgb="FFDCDCDC"/>
      </right>
      <top style="medium">
        <color theme="0" tint="-0.34998626667073579"/>
      </top>
      <bottom/>
      <diagonal/>
    </border>
    <border>
      <left style="thin">
        <color rgb="FFDCDCDC"/>
      </left>
      <right style="thin">
        <color rgb="FFDCDCDC"/>
      </right>
      <top style="medium">
        <color theme="0" tint="-0.34998626667073579"/>
      </top>
      <bottom/>
      <diagonal/>
    </border>
    <border>
      <left style="thin">
        <color rgb="FFDCDCDC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20" fillId="0" borderId="0"/>
    <xf numFmtId="0" fontId="1" fillId="0" borderId="0"/>
  </cellStyleXfs>
  <cellXfs count="154">
    <xf numFmtId="0" fontId="0" fillId="0" borderId="0" xfId="0"/>
    <xf numFmtId="0" fontId="7" fillId="0" borderId="0" xfId="0" applyFont="1" applyAlignment="1">
      <alignment horizontal="left" vertical="center"/>
    </xf>
    <xf numFmtId="1" fontId="6" fillId="4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7" fontId="11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vertical="center"/>
    </xf>
    <xf numFmtId="0" fontId="14" fillId="8" borderId="2" xfId="0" applyFont="1" applyFill="1" applyBorder="1" applyAlignment="1">
      <alignment vertical="center"/>
    </xf>
    <xf numFmtId="0" fontId="0" fillId="0" borderId="2" xfId="0" applyBorder="1"/>
    <xf numFmtId="0" fontId="15" fillId="0" borderId="4" xfId="0" applyFont="1" applyBorder="1"/>
    <xf numFmtId="0" fontId="16" fillId="9" borderId="2" xfId="0" applyFont="1" applyFill="1" applyBorder="1" applyAlignment="1">
      <alignment vertical="center"/>
    </xf>
    <xf numFmtId="0" fontId="15" fillId="9" borderId="2" xfId="0" applyFont="1" applyFill="1" applyBorder="1"/>
    <xf numFmtId="0" fontId="15" fillId="9" borderId="4" xfId="0" applyFont="1" applyFill="1" applyBorder="1"/>
    <xf numFmtId="0" fontId="13" fillId="10" borderId="5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17" fillId="11" borderId="7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 readingOrder="1"/>
    </xf>
    <xf numFmtId="0" fontId="0" fillId="0" borderId="8" xfId="0" applyBorder="1"/>
    <xf numFmtId="14" fontId="6" fillId="4" borderId="1" xfId="0" applyNumberFormat="1" applyFont="1" applyFill="1" applyBorder="1" applyAlignment="1">
      <alignment horizontal="center" vertical="center"/>
    </xf>
    <xf numFmtId="0" fontId="14" fillId="7" borderId="2" xfId="0" quotePrefix="1" applyFont="1" applyFill="1" applyBorder="1" applyAlignment="1">
      <alignment vertical="center"/>
    </xf>
    <xf numFmtId="14" fontId="8" fillId="5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14" fontId="12" fillId="0" borderId="1" xfId="0" applyNumberFormat="1" applyFont="1" applyBorder="1" applyAlignment="1">
      <alignment horizontal="center" vertical="center"/>
    </xf>
    <xf numFmtId="0" fontId="23" fillId="0" borderId="0" xfId="0" quotePrefix="1" applyFont="1" applyAlignment="1">
      <alignment horizontal="left" vertical="center"/>
    </xf>
    <xf numFmtId="0" fontId="1" fillId="0" borderId="0" xfId="2"/>
    <xf numFmtId="0" fontId="31" fillId="0" borderId="11" xfId="2" applyFont="1" applyBorder="1" applyAlignment="1">
      <alignment horizontal="left" vertical="center" indent="1"/>
    </xf>
    <xf numFmtId="0" fontId="31" fillId="0" borderId="11" xfId="2" applyFont="1" applyBorder="1" applyAlignment="1">
      <alignment horizontal="left" vertical="center" wrapText="1" indent="1"/>
    </xf>
    <xf numFmtId="0" fontId="30" fillId="25" borderId="10" xfId="2" applyFont="1" applyFill="1" applyBorder="1" applyAlignment="1">
      <alignment horizontal="center" vertical="center" wrapText="1"/>
    </xf>
    <xf numFmtId="0" fontId="33" fillId="0" borderId="0" xfId="2" applyFont="1"/>
    <xf numFmtId="0" fontId="34" fillId="0" borderId="0" xfId="2" applyFont="1"/>
    <xf numFmtId="0" fontId="1" fillId="14" borderId="10" xfId="2" applyFill="1" applyBorder="1"/>
    <xf numFmtId="0" fontId="1" fillId="16" borderId="10" xfId="2" applyFill="1" applyBorder="1"/>
    <xf numFmtId="0" fontId="1" fillId="17" borderId="10" xfId="2" applyFill="1" applyBorder="1"/>
    <xf numFmtId="0" fontId="1" fillId="19" borderId="10" xfId="2" applyFill="1" applyBorder="1"/>
    <xf numFmtId="0" fontId="1" fillId="21" borderId="10" xfId="2" applyFill="1" applyBorder="1"/>
    <xf numFmtId="0" fontId="1" fillId="23" borderId="10" xfId="2" applyFill="1" applyBorder="1"/>
    <xf numFmtId="0" fontId="1" fillId="25" borderId="10" xfId="2" applyFill="1" applyBorder="1"/>
    <xf numFmtId="0" fontId="0" fillId="0" borderId="0" xfId="0" applyAlignment="1">
      <alignment wrapText="1"/>
    </xf>
    <xf numFmtId="0" fontId="38" fillId="0" borderId="0" xfId="0" applyFont="1"/>
    <xf numFmtId="0" fontId="29" fillId="13" borderId="12" xfId="2" applyFont="1" applyFill="1" applyBorder="1" applyAlignment="1">
      <alignment horizontal="center" vertical="center"/>
    </xf>
    <xf numFmtId="0" fontId="29" fillId="13" borderId="13" xfId="2" applyFont="1" applyFill="1" applyBorder="1" applyAlignment="1">
      <alignment horizontal="center" vertical="center"/>
    </xf>
    <xf numFmtId="0" fontId="29" fillId="13" borderId="14" xfId="2" applyFont="1" applyFill="1" applyBorder="1" applyAlignment="1">
      <alignment horizontal="center" vertical="center"/>
    </xf>
    <xf numFmtId="0" fontId="1" fillId="14" borderId="7" xfId="2" applyFill="1" applyBorder="1"/>
    <xf numFmtId="0" fontId="1" fillId="0" borderId="7" xfId="2" applyBorder="1"/>
    <xf numFmtId="0" fontId="1" fillId="15" borderId="7" xfId="2" applyFill="1" applyBorder="1"/>
    <xf numFmtId="0" fontId="1" fillId="16" borderId="7" xfId="2" applyFill="1" applyBorder="1"/>
    <xf numFmtId="0" fontId="1" fillId="17" borderId="7" xfId="2" applyFill="1" applyBorder="1"/>
    <xf numFmtId="0" fontId="1" fillId="18" borderId="7" xfId="2" applyFill="1" applyBorder="1"/>
    <xf numFmtId="0" fontId="1" fillId="19" borderId="7" xfId="2" applyFill="1" applyBorder="1"/>
    <xf numFmtId="0" fontId="1" fillId="20" borderId="7" xfId="2" applyFill="1" applyBorder="1"/>
    <xf numFmtId="0" fontId="1" fillId="21" borderId="7" xfId="2" applyFill="1" applyBorder="1"/>
    <xf numFmtId="0" fontId="1" fillId="22" borderId="7" xfId="2" applyFill="1" applyBorder="1"/>
    <xf numFmtId="0" fontId="1" fillId="23" borderId="7" xfId="2" applyFill="1" applyBorder="1"/>
    <xf numFmtId="0" fontId="1" fillId="24" borderId="7" xfId="2" applyFill="1" applyBorder="1"/>
    <xf numFmtId="0" fontId="1" fillId="26" borderId="7" xfId="2" applyFill="1" applyBorder="1"/>
    <xf numFmtId="0" fontId="39" fillId="27" borderId="15" xfId="0" applyFont="1" applyFill="1" applyBorder="1" applyAlignment="1">
      <alignment horizontal="center" vertical="center" wrapText="1"/>
    </xf>
    <xf numFmtId="0" fontId="39" fillId="29" borderId="15" xfId="0" applyFont="1" applyFill="1" applyBorder="1" applyAlignment="1">
      <alignment horizontal="center" vertical="center" wrapText="1"/>
    </xf>
    <xf numFmtId="0" fontId="40" fillId="30" borderId="15" xfId="0" applyFont="1" applyFill="1" applyBorder="1" applyAlignment="1">
      <alignment vertical="center"/>
    </xf>
    <xf numFmtId="0" fontId="40" fillId="31" borderId="15" xfId="0" applyFont="1" applyFill="1" applyBorder="1" applyAlignment="1">
      <alignment vertical="center"/>
    </xf>
    <xf numFmtId="0" fontId="39" fillId="27" borderId="16" xfId="0" applyFont="1" applyFill="1" applyBorder="1" applyAlignment="1">
      <alignment horizontal="center" vertical="center" wrapText="1"/>
    </xf>
    <xf numFmtId="0" fontId="41" fillId="32" borderId="0" xfId="0" applyFont="1" applyFill="1" applyAlignment="1">
      <alignment horizontal="center" vertical="center" wrapText="1"/>
    </xf>
    <xf numFmtId="0" fontId="42" fillId="0" borderId="0" xfId="0" applyFont="1"/>
    <xf numFmtId="0" fontId="43" fillId="0" borderId="0" xfId="0" applyFont="1"/>
    <xf numFmtId="0" fontId="41" fillId="32" borderId="16" xfId="0" applyFont="1" applyFill="1" applyBorder="1" applyAlignment="1">
      <alignment horizontal="center" vertical="center" wrapText="1"/>
    </xf>
    <xf numFmtId="0" fontId="45" fillId="0" borderId="0" xfId="0" applyFont="1"/>
    <xf numFmtId="0" fontId="41" fillId="32" borderId="0" xfId="0" applyFont="1" applyFill="1"/>
    <xf numFmtId="0" fontId="46" fillId="35" borderId="0" xfId="0" applyFont="1" applyFill="1" applyAlignment="1">
      <alignment horizontal="center" wrapText="1"/>
    </xf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51" fillId="0" borderId="0" xfId="0" applyFont="1"/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43" fillId="39" borderId="18" xfId="0" applyFont="1" applyFill="1" applyBorder="1"/>
    <xf numFmtId="165" fontId="43" fillId="39" borderId="2" xfId="0" applyNumberFormat="1" applyFont="1" applyFill="1" applyBorder="1" applyAlignment="1">
      <alignment horizontal="center"/>
    </xf>
    <xf numFmtId="165" fontId="43" fillId="39" borderId="4" xfId="0" applyNumberFormat="1" applyFont="1" applyFill="1" applyBorder="1" applyAlignment="1">
      <alignment horizontal="center"/>
    </xf>
    <xf numFmtId="0" fontId="46" fillId="36" borderId="18" xfId="0" applyFont="1" applyFill="1" applyBorder="1"/>
    <xf numFmtId="0" fontId="46" fillId="37" borderId="18" xfId="0" applyFont="1" applyFill="1" applyBorder="1"/>
    <xf numFmtId="0" fontId="50" fillId="28" borderId="18" xfId="0" applyFont="1" applyFill="1" applyBorder="1"/>
    <xf numFmtId="0" fontId="50" fillId="38" borderId="18" xfId="0" applyFont="1" applyFill="1" applyBorder="1"/>
    <xf numFmtId="0" fontId="46" fillId="36" borderId="0" xfId="0" applyFont="1" applyFill="1" applyAlignment="1">
      <alignment vertical="center"/>
    </xf>
    <xf numFmtId="0" fontId="46" fillId="37" borderId="20" xfId="0" applyFont="1" applyFill="1" applyBorder="1" applyAlignment="1">
      <alignment vertical="center"/>
    </xf>
    <xf numFmtId="0" fontId="50" fillId="28" borderId="20" xfId="0" applyFont="1" applyFill="1" applyBorder="1" applyAlignment="1">
      <alignment vertical="center"/>
    </xf>
    <xf numFmtId="0" fontId="50" fillId="38" borderId="19" xfId="0" applyFont="1" applyFill="1" applyBorder="1" applyAlignment="1">
      <alignment vertical="center"/>
    </xf>
    <xf numFmtId="0" fontId="46" fillId="35" borderId="30" xfId="0" applyFont="1" applyFill="1" applyBorder="1" applyAlignment="1">
      <alignment horizontal="center" vertical="center" wrapText="1"/>
    </xf>
    <xf numFmtId="0" fontId="46" fillId="35" borderId="31" xfId="0" applyFont="1" applyFill="1" applyBorder="1" applyAlignment="1">
      <alignment horizontal="center" vertical="center" wrapText="1"/>
    </xf>
    <xf numFmtId="0" fontId="46" fillId="35" borderId="32" xfId="0" applyFont="1" applyFill="1" applyBorder="1" applyAlignment="1">
      <alignment horizontal="center" vertical="center" wrapText="1"/>
    </xf>
    <xf numFmtId="0" fontId="38" fillId="33" borderId="2" xfId="0" applyFont="1" applyFill="1" applyBorder="1"/>
    <xf numFmtId="0" fontId="44" fillId="0" borderId="2" xfId="0" applyFont="1" applyBorder="1" applyAlignment="1">
      <alignment horizontal="center"/>
    </xf>
    <xf numFmtId="0" fontId="46" fillId="40" borderId="0" xfId="0" applyFont="1" applyFill="1" applyAlignment="1">
      <alignment wrapText="1"/>
    </xf>
    <xf numFmtId="0" fontId="43" fillId="0" borderId="0" xfId="0" applyFont="1" applyAlignment="1">
      <alignment horizontal="center"/>
    </xf>
    <xf numFmtId="0" fontId="53" fillId="0" borderId="0" xfId="0" applyFont="1"/>
    <xf numFmtId="0" fontId="46" fillId="40" borderId="0" xfId="0" applyFont="1" applyFill="1"/>
    <xf numFmtId="0" fontId="46" fillId="40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38" fillId="33" borderId="4" xfId="0" applyFont="1" applyFill="1" applyBorder="1" applyAlignment="1">
      <alignment horizontal="center"/>
    </xf>
    <xf numFmtId="0" fontId="38" fillId="33" borderId="17" xfId="0" applyFont="1" applyFill="1" applyBorder="1" applyAlignment="1">
      <alignment horizontal="center"/>
    </xf>
    <xf numFmtId="0" fontId="38" fillId="33" borderId="18" xfId="0" applyFont="1" applyFill="1" applyBorder="1" applyAlignment="1">
      <alignment horizontal="center"/>
    </xf>
    <xf numFmtId="0" fontId="38" fillId="33" borderId="2" xfId="0" applyFont="1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0" fontId="0" fillId="0" borderId="20" xfId="0" applyBorder="1"/>
    <xf numFmtId="0" fontId="0" fillId="0" borderId="19" xfId="0" applyBorder="1" applyAlignment="1">
      <alignment vertical="center" wrapText="1"/>
    </xf>
    <xf numFmtId="0" fontId="0" fillId="0" borderId="19" xfId="0" applyBorder="1"/>
    <xf numFmtId="0" fontId="47" fillId="0" borderId="0" xfId="0" applyFont="1"/>
    <xf numFmtId="0" fontId="48" fillId="0" borderId="0" xfId="0" applyFont="1"/>
    <xf numFmtId="0" fontId="49" fillId="34" borderId="0" xfId="0" applyFont="1" applyFill="1" applyAlignment="1">
      <alignment vertical="center"/>
    </xf>
    <xf numFmtId="0" fontId="49" fillId="34" borderId="0" xfId="0" applyFont="1" applyFill="1"/>
    <xf numFmtId="0" fontId="0" fillId="0" borderId="0" xfId="0" applyAlignment="1">
      <alignment vertical="center" wrapText="1"/>
    </xf>
    <xf numFmtId="0" fontId="0" fillId="0" borderId="0" xfId="0"/>
    <xf numFmtId="0" fontId="37" fillId="0" borderId="0" xfId="2" applyFont="1"/>
    <xf numFmtId="0" fontId="1" fillId="0" borderId="0" xfId="2"/>
    <xf numFmtId="0" fontId="35" fillId="0" borderId="0" xfId="2" applyFont="1" applyAlignment="1">
      <alignment horizontal="left" vertical="center"/>
    </xf>
    <xf numFmtId="0" fontId="36" fillId="0" borderId="0" xfId="2" applyFont="1" applyAlignment="1">
      <alignment horizontal="left" vertical="center"/>
    </xf>
    <xf numFmtId="0" fontId="35" fillId="0" borderId="0" xfId="2" applyFont="1"/>
    <xf numFmtId="0" fontId="32" fillId="23" borderId="10" xfId="2" applyFont="1" applyFill="1" applyBorder="1" applyAlignment="1">
      <alignment horizontal="center" vertical="center" wrapText="1"/>
    </xf>
    <xf numFmtId="0" fontId="1" fillId="0" borderId="10" xfId="2" applyBorder="1"/>
    <xf numFmtId="0" fontId="24" fillId="0" borderId="0" xfId="2" applyFont="1" applyAlignment="1">
      <alignment vertical="center"/>
    </xf>
    <xf numFmtId="0" fontId="25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27" fillId="12" borderId="0" xfId="2" applyFont="1" applyFill="1" applyAlignment="1">
      <alignment horizontal="left" vertical="center" indent="1"/>
    </xf>
    <xf numFmtId="0" fontId="28" fillId="12" borderId="0" xfId="2" applyFont="1" applyFill="1" applyAlignment="1">
      <alignment horizontal="center" vertical="center"/>
    </xf>
    <xf numFmtId="0" fontId="28" fillId="12" borderId="9" xfId="2" applyFont="1" applyFill="1" applyBorder="1" applyAlignment="1">
      <alignment horizontal="center" vertical="center"/>
    </xf>
    <xf numFmtId="0" fontId="30" fillId="14" borderId="10" xfId="2" applyFont="1" applyFill="1" applyBorder="1" applyAlignment="1">
      <alignment horizontal="center" vertical="center" wrapText="1"/>
    </xf>
    <xf numFmtId="0" fontId="30" fillId="16" borderId="10" xfId="2" applyFont="1" applyFill="1" applyBorder="1" applyAlignment="1">
      <alignment horizontal="center" vertical="center" wrapText="1"/>
    </xf>
    <xf numFmtId="0" fontId="30" fillId="17" borderId="10" xfId="2" applyFont="1" applyFill="1" applyBorder="1" applyAlignment="1">
      <alignment horizontal="center" vertical="center" wrapText="1"/>
    </xf>
    <xf numFmtId="0" fontId="30" fillId="19" borderId="10" xfId="2" applyFont="1" applyFill="1" applyBorder="1" applyAlignment="1">
      <alignment horizontal="center" vertical="center" wrapText="1"/>
    </xf>
    <xf numFmtId="0" fontId="30" fillId="21" borderId="10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NumberFormat="1"/>
  </cellXfs>
  <cellStyles count="3">
    <cellStyle name="Normal" xfId="0" builtinId="0"/>
    <cellStyle name="Normal 2" xfId="1" xr:uid="{00000000-0005-0000-0000-000006000000}"/>
    <cellStyle name="Normal 3" xfId="2" xr:uid="{13E852F7-B0B5-46D5-BBB9-B8FF7170DD6D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B1B993"/>
        </patternFill>
      </fill>
    </dxf>
    <dxf>
      <font>
        <b/>
        <color rgb="FFFFFFFF"/>
        <name val="Calibri"/>
        <charset val="1"/>
      </font>
      <fill>
        <patternFill>
          <bgColor rgb="FFB91E27"/>
        </patternFill>
      </fill>
    </dxf>
    <dxf>
      <font>
        <b/>
        <color rgb="FF990000"/>
        <name val="Calibri"/>
        <charset val="1"/>
      </font>
      <fill>
        <patternFill>
          <bgColor rgb="FFF4CCCC"/>
        </patternFill>
      </fill>
    </dxf>
    <dxf>
      <font>
        <b/>
        <i val="0"/>
        <color rgb="FF000000"/>
      </font>
      <fill>
        <patternFill patternType="solid">
          <fgColor indexed="64"/>
          <bgColor rgb="FFA9D08E"/>
        </patternFill>
      </fill>
    </dxf>
    <dxf>
      <font>
        <b/>
        <i val="0"/>
        <color rgb="FF000000"/>
      </font>
      <fill>
        <patternFill patternType="solid">
          <fgColor indexed="64"/>
          <bgColor rgb="FFFFC000"/>
        </patternFill>
      </fill>
    </dxf>
    <dxf>
      <font>
        <b/>
        <i val="0"/>
        <color rgb="FFFFFFFF"/>
      </font>
      <fill>
        <patternFill patternType="solid">
          <fgColor indexed="64"/>
          <bgColor rgb="FFED7D31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0000"/>
      </font>
      <fill>
        <patternFill patternType="solid">
          <fgColor indexed="64"/>
          <bgColor rgb="FFE0E0E0"/>
        </patternFill>
      </fill>
    </dxf>
    <dxf>
      <font>
        <color rgb="FF000000"/>
      </font>
      <fill>
        <patternFill patternType="solid">
          <fgColor indexed="64"/>
          <bgColor rgb="FFFFF176"/>
        </patternFill>
      </fill>
    </dxf>
    <dxf>
      <font>
        <color rgb="FFFFFFFF"/>
      </font>
      <fill>
        <patternFill patternType="solid">
          <fgColor indexed="64"/>
          <bgColor rgb="FFEF6C00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1B5E20"/>
      <rgbColor rgb="FF000080"/>
      <rgbColor rgb="FF808000"/>
      <rgbColor rgb="FF800080"/>
      <rgbColor rgb="FF008080"/>
      <rgbColor rgb="FFB1B993"/>
      <rgbColor rgb="FF777777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5F0E8"/>
      <rgbColor rgb="FFD9D9D9"/>
      <rgbColor rgb="FFFFFF99"/>
      <rgbColor rgb="FF99CCFF"/>
      <rgbColor rgb="FFFF99CC"/>
      <rgbColor rgb="FFCC99FF"/>
      <rgbColor rgb="FFF4CCCC"/>
      <rgbColor rgb="FF3366FF"/>
      <rgbColor rgb="FF33CCCC"/>
      <rgbColor rgb="FF92D050"/>
      <rgbColor rgb="FFFFCC00"/>
      <rgbColor rgb="FFFF9900"/>
      <rgbColor rgb="FFFF6600"/>
      <rgbColor rgb="FF555555"/>
      <rgbColor rgb="FF969696"/>
      <rgbColor rgb="FF003366"/>
      <rgbColor rgb="FF00B050"/>
      <rgbColor rgb="FF003300"/>
      <rgbColor rgb="FF333300"/>
      <rgbColor rgb="FFB91E2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Dalles à créer par vague de priorité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PRESENTATION!$C$47</c:f>
              <c:strCache>
                <c:ptCount val="1"/>
                <c:pt idx="0">
                  <c:v>Cabanes à cartons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PRESENTATION!$A$48:$A$51</c:f>
              <c:strCache>
                <c:ptCount val="4"/>
                <c:pt idx="0">
                  <c:v>P1 - Critique</c:v>
                </c:pt>
                <c:pt idx="1">
                  <c:v>P2 - Haute</c:v>
                </c:pt>
                <c:pt idx="2">
                  <c:v>P3 - Moyenne</c:v>
                </c:pt>
                <c:pt idx="3">
                  <c:v>P4 - Basse</c:v>
                </c:pt>
              </c:strCache>
            </c:strRef>
          </c:cat>
          <c:val>
            <c:numRef>
              <c:f>PRESENTATION!$C$48:$C$51</c:f>
              <c:numCache>
                <c:formatCode>0;;\-</c:formatCode>
                <c:ptCount val="4"/>
                <c:pt idx="0">
                  <c:v>9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4-407B-8FDC-7F662C185CD7}"/>
            </c:ext>
          </c:extLst>
        </c:ser>
        <c:ser>
          <c:idx val="1"/>
          <c:order val="1"/>
          <c:tx>
            <c:strRef>
              <c:f>PRESENTATION!$D$47</c:f>
              <c:strCache>
                <c:ptCount val="1"/>
                <c:pt idx="0">
                  <c:v>PDR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PRESENTATION!$A$48:$A$51</c:f>
              <c:strCache>
                <c:ptCount val="4"/>
                <c:pt idx="0">
                  <c:v>P1 - Critique</c:v>
                </c:pt>
                <c:pt idx="1">
                  <c:v>P2 - Haute</c:v>
                </c:pt>
                <c:pt idx="2">
                  <c:v>P3 - Moyenne</c:v>
                </c:pt>
                <c:pt idx="3">
                  <c:v>P4 - Basse</c:v>
                </c:pt>
              </c:strCache>
            </c:strRef>
          </c:cat>
          <c:val>
            <c:numRef>
              <c:f>PRESENTATION!$D$48:$D$51</c:f>
              <c:numCache>
                <c:formatCode>0;;\-</c:formatCode>
                <c:ptCount val="4"/>
                <c:pt idx="0">
                  <c:v>44</c:v>
                </c:pt>
                <c:pt idx="1">
                  <c:v>23</c:v>
                </c:pt>
                <c:pt idx="2">
                  <c:v>8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4-407B-8FDC-7F662C185CD7}"/>
            </c:ext>
          </c:extLst>
        </c:ser>
        <c:ser>
          <c:idx val="2"/>
          <c:order val="2"/>
          <c:tx>
            <c:strRef>
              <c:f>PRESENTATION!$E$47</c:f>
              <c:strCache>
                <c:ptCount val="1"/>
                <c:pt idx="0">
                  <c:v>Bornes à 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PRESENTATION!$A$48:$A$51</c:f>
              <c:strCache>
                <c:ptCount val="4"/>
                <c:pt idx="0">
                  <c:v>P1 - Critique</c:v>
                </c:pt>
                <c:pt idx="1">
                  <c:v>P2 - Haute</c:v>
                </c:pt>
                <c:pt idx="2">
                  <c:v>P3 - Moyenne</c:v>
                </c:pt>
                <c:pt idx="3">
                  <c:v>P4 - Basse</c:v>
                </c:pt>
              </c:strCache>
            </c:strRef>
          </c:cat>
          <c:val>
            <c:numRef>
              <c:f>PRESENTATION!$E$48:$E$51</c:f>
              <c:numCache>
                <c:formatCode>0;;\-</c:formatCode>
                <c:ptCount val="4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4-407B-8FDC-7F662C185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581983"/>
        <c:axId val="645776879"/>
      </c:barChart>
      <c:catAx>
        <c:axId val="12585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5776879"/>
        <c:crosses val="autoZero"/>
        <c:auto val="1"/>
        <c:lblAlgn val="ctr"/>
        <c:lblOffset val="100"/>
        <c:noMultiLvlLbl val="0"/>
      </c:catAx>
      <c:valAx>
        <c:axId val="64577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dalles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;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58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-1</xdr:colOff>
      <xdr:row>45</xdr:row>
      <xdr:rowOff>0</xdr:rowOff>
    </xdr:from>
    <xdr:to>
      <xdr:col>20</xdr:col>
      <xdr:colOff>40820</xdr:colOff>
      <xdr:row>61</xdr:row>
      <xdr:rowOff>68036</xdr:rowOff>
    </xdr:to>
    <xdr:graphicFrame macro="">
      <xdr:nvGraphicFramePr>
        <xdr:cNvPr id="3" name="VaguesTravaux">
          <a:extLst>
            <a:ext uri="{FF2B5EF4-FFF2-40B4-BE49-F238E27FC236}">
              <a16:creationId xmlns:a16="http://schemas.microsoft.com/office/drawing/2014/main" id="{2D3194CF-8F5E-33C3-3DFA-595ACE622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cpafr-my.sharepoint.com/personal/y_marti_normandiecabourgpaysdauge_fr/Documents/BILAN%20INTERACTIF/BASE%20POUR%20BILAN%20INTERACTIF.xlsx" TargetMode="External"/><Relationship Id="rId1" Type="http://schemas.openxmlformats.org/officeDocument/2006/relationships/externalLinkPath" Target="https://ncpafr-my.sharepoint.com/personal/y_marti_normandiecabourgpaysdauge_fr/Documents/BILAN%20INTERACTIF/BASE%20POUR%20BILAN%20INTERACTI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EES VIACOL"/>
      <sheetName val="STATS LIVRAISONS"/>
      <sheetName val="01_Identité_Démographie"/>
      <sheetName val="02_Collecte_Infrastructure"/>
      <sheetName val="03_Déploiement_Prévu"/>
      <sheetName val="04_PDR"/>
      <sheetName val="05_Nouveauxequip"/>
      <sheetName val="06_Nonconteneurisables"/>
      <sheetName val="07_JRSDECOLLECTE"/>
      <sheetName val="08_VOIES_PARTICULIERES"/>
      <sheetName val="09_RESTE_A_ENQUETER"/>
      <sheetName val="REDEVABLES_RS"/>
      <sheetName val="NOTES_YM"/>
      <sheetName val="SOURCE RS"/>
      <sheetName val="pav_pdr_2025"/>
      <sheetName val="STATS"/>
      <sheetName val="Manœuvres longues"/>
      <sheetName val="BASE POUR BILAN INTERACTIF"/>
    </sheetNames>
    <sheetDataSet>
      <sheetData sheetId="0"/>
      <sheetData sheetId="1"/>
      <sheetData sheetId="2"/>
      <sheetData sheetId="3"/>
      <sheetData sheetId="4">
        <row r="3">
          <cell r="A3" t="str">
            <v>14012</v>
          </cell>
          <cell r="B3" t="str">
            <v>Angerville</v>
          </cell>
          <cell r="C3">
            <v>4</v>
          </cell>
          <cell r="D3">
            <v>7</v>
          </cell>
          <cell r="E3">
            <v>7</v>
          </cell>
          <cell r="F3">
            <v>1</v>
          </cell>
          <cell r="G3">
            <v>1</v>
          </cell>
          <cell r="H3"/>
          <cell r="I3"/>
          <cell r="J3" t="e">
            <v>#REF!</v>
          </cell>
          <cell r="K3" t="e">
            <v>#REF!</v>
          </cell>
          <cell r="L3" t="e">
            <v>#REF!</v>
          </cell>
          <cell r="M3">
            <v>1</v>
          </cell>
          <cell r="N3">
            <v>1</v>
          </cell>
          <cell r="O3">
            <v>1</v>
          </cell>
          <cell r="P3" t="str">
            <v xml:space="preserve">3 colonnes à enterrer en lieu et place de la loge actuelle située Place de l'Eglise. </v>
          </cell>
          <cell r="Q3"/>
          <cell r="R3"/>
          <cell r="S3"/>
          <cell r="T3">
            <v>1</v>
          </cell>
        </row>
        <row r="4">
          <cell r="A4" t="str">
            <v>14229</v>
          </cell>
          <cell r="B4" t="str">
            <v>Dozulé</v>
          </cell>
          <cell r="C4">
            <v>730</v>
          </cell>
          <cell r="D4">
            <v>735</v>
          </cell>
          <cell r="E4">
            <v>840</v>
          </cell>
          <cell r="F4">
            <v>0.875</v>
          </cell>
          <cell r="G4">
            <v>1</v>
          </cell>
          <cell r="H4" t="str">
            <v>A discuter. L'installation d'une cabane à cartons pourrait se révéler très pertinente, notamment pour le marché. Proposer plusieurs emplacements de repli.</v>
          </cell>
          <cell r="I4"/>
          <cell r="J4" t="e">
            <v>#REF!</v>
          </cell>
          <cell r="K4" t="e">
            <v>#REF!</v>
          </cell>
          <cell r="L4" t="e">
            <v>#REF!</v>
          </cell>
          <cell r="M4">
            <v>1</v>
          </cell>
          <cell r="N4">
            <v>1</v>
          </cell>
          <cell r="O4">
            <v>1</v>
          </cell>
          <cell r="P4" t="str">
            <v>Rue Amédée Richet (1 OMR / 1 J / 1 V)</v>
          </cell>
          <cell r="Q4"/>
          <cell r="R4"/>
          <cell r="S4"/>
          <cell r="T4">
            <v>1</v>
          </cell>
        </row>
        <row r="5">
          <cell r="A5" t="str">
            <v>14305</v>
          </cell>
          <cell r="B5" t="str">
            <v>Gonneville-sur-Mer</v>
          </cell>
          <cell r="C5">
            <v>105</v>
          </cell>
          <cell r="D5">
            <v>100</v>
          </cell>
          <cell r="E5">
            <v>211</v>
          </cell>
          <cell r="F5">
            <v>0.49763033175355448</v>
          </cell>
          <cell r="G5">
            <v>0</v>
          </cell>
          <cell r="H5"/>
          <cell r="I5"/>
          <cell r="J5" t="e">
            <v>#REF!</v>
          </cell>
          <cell r="K5" t="e">
            <v>#REF!</v>
          </cell>
          <cell r="L5" t="e">
            <v>#REF!</v>
          </cell>
          <cell r="M5">
            <v>1</v>
          </cell>
          <cell r="N5">
            <v>1</v>
          </cell>
          <cell r="O5">
            <v>0</v>
          </cell>
          <cell r="P5" t="str">
            <v>Route de Dozulé, emplacement actuel loge bourg (1 OMR / 1 J)</v>
          </cell>
          <cell r="Q5"/>
          <cell r="R5"/>
          <cell r="S5"/>
          <cell r="T5">
            <v>1</v>
          </cell>
        </row>
        <row r="6">
          <cell r="A6" t="str">
            <v>14335</v>
          </cell>
          <cell r="B6" t="str">
            <v>Hotot-en-Auge</v>
          </cell>
          <cell r="C6">
            <v>121</v>
          </cell>
          <cell r="D6">
            <v>127</v>
          </cell>
          <cell r="E6">
            <v>156</v>
          </cell>
          <cell r="F6">
            <v>0.8141025641025641</v>
          </cell>
          <cell r="G6">
            <v>1</v>
          </cell>
          <cell r="H6"/>
          <cell r="I6"/>
          <cell r="J6" t="e">
            <v>#REF!</v>
          </cell>
          <cell r="K6" t="e">
            <v>#REF!</v>
          </cell>
          <cell r="L6" t="e">
            <v>#REF!</v>
          </cell>
          <cell r="M6">
            <v>0</v>
          </cell>
          <cell r="N6">
            <v>0</v>
          </cell>
          <cell r="O6">
            <v>0</v>
          </cell>
          <cell r="P6"/>
          <cell r="Q6"/>
          <cell r="R6"/>
          <cell r="S6"/>
          <cell r="T6">
            <v>1</v>
          </cell>
        </row>
        <row r="7">
          <cell r="A7" t="str">
            <v>14550</v>
          </cell>
          <cell r="B7" t="str">
            <v>Rumesnil</v>
          </cell>
          <cell r="C7">
            <v>36</v>
          </cell>
          <cell r="D7">
            <v>37</v>
          </cell>
          <cell r="E7">
            <v>47</v>
          </cell>
          <cell r="F7">
            <v>0.78723404255319152</v>
          </cell>
          <cell r="G7">
            <v>0</v>
          </cell>
          <cell r="H7"/>
          <cell r="I7"/>
          <cell r="J7" t="e">
            <v>#REF!</v>
          </cell>
          <cell r="K7" t="e">
            <v>#REF!</v>
          </cell>
          <cell r="L7" t="e">
            <v>#REF!</v>
          </cell>
          <cell r="M7">
            <v>0</v>
          </cell>
          <cell r="N7">
            <v>0</v>
          </cell>
          <cell r="O7">
            <v>0</v>
          </cell>
          <cell r="P7"/>
          <cell r="Q7"/>
          <cell r="R7"/>
          <cell r="S7"/>
          <cell r="T7">
            <v>1</v>
          </cell>
        </row>
        <row r="8">
          <cell r="A8" t="str">
            <v>14665</v>
          </cell>
          <cell r="B8" t="str">
            <v>Sallenelles</v>
          </cell>
          <cell r="C8">
            <v>126</v>
          </cell>
          <cell r="D8">
            <v>127</v>
          </cell>
          <cell r="E8">
            <v>140</v>
          </cell>
          <cell r="F8">
            <v>0.90714285714285714</v>
          </cell>
          <cell r="G8">
            <v>1</v>
          </cell>
          <cell r="H8"/>
          <cell r="I8"/>
          <cell r="J8" t="e">
            <v>#REF!</v>
          </cell>
          <cell r="K8" t="e">
            <v>#REF!</v>
          </cell>
          <cell r="L8" t="e">
            <v>#REF!</v>
          </cell>
          <cell r="M8">
            <v>1</v>
          </cell>
          <cell r="N8">
            <v>1</v>
          </cell>
          <cell r="O8">
            <v>1</v>
          </cell>
          <cell r="P8" t="str">
            <v>Boulevard Maritime pour Rue Guillaume Trébutien (1 OMR / 1J / 1V)</v>
          </cell>
          <cell r="Q8"/>
          <cell r="R8"/>
          <cell r="S8"/>
          <cell r="T8">
            <v>1</v>
          </cell>
        </row>
        <row r="9">
          <cell r="A9" t="str">
            <v>14743</v>
          </cell>
          <cell r="B9" t="str">
            <v>Victot-Pontfol</v>
          </cell>
          <cell r="C9">
            <v>61</v>
          </cell>
          <cell r="D9">
            <v>62</v>
          </cell>
          <cell r="E9">
            <v>93</v>
          </cell>
          <cell r="F9">
            <v>0.66666666666666663</v>
          </cell>
          <cell r="G9">
            <v>3</v>
          </cell>
          <cell r="H9"/>
          <cell r="I9"/>
          <cell r="J9" t="e">
            <v>#REF!</v>
          </cell>
          <cell r="K9" t="e">
            <v>#REF!</v>
          </cell>
          <cell r="L9" t="e">
            <v>#REF!</v>
          </cell>
          <cell r="M9">
            <v>0</v>
          </cell>
          <cell r="N9">
            <v>0</v>
          </cell>
          <cell r="O9">
            <v>0</v>
          </cell>
          <cell r="P9"/>
          <cell r="Q9"/>
          <cell r="R9"/>
          <cell r="S9"/>
          <cell r="T9">
            <v>1</v>
          </cell>
        </row>
        <row r="10">
          <cell r="A10" t="str">
            <v>14198</v>
          </cell>
          <cell r="B10" t="str">
            <v>Cresseveuille</v>
          </cell>
          <cell r="C10">
            <v>90</v>
          </cell>
          <cell r="D10">
            <v>89</v>
          </cell>
          <cell r="E10">
            <v>110</v>
          </cell>
          <cell r="F10">
            <v>0.81818181818181823</v>
          </cell>
          <cell r="G10">
            <v>0</v>
          </cell>
          <cell r="H10"/>
          <cell r="I10"/>
          <cell r="J10" t="e">
            <v>#REF!</v>
          </cell>
          <cell r="K10" t="e">
            <v>#REF!</v>
          </cell>
          <cell r="L10" t="e">
            <v>#REF!</v>
          </cell>
          <cell r="M10">
            <v>0</v>
          </cell>
          <cell r="N10">
            <v>0</v>
          </cell>
          <cell r="O10">
            <v>0</v>
          </cell>
          <cell r="P10"/>
          <cell r="Q10"/>
          <cell r="R10"/>
          <cell r="S10"/>
          <cell r="T10">
            <v>2</v>
          </cell>
        </row>
        <row r="11">
          <cell r="A11" t="str">
            <v>14203</v>
          </cell>
          <cell r="B11" t="str">
            <v>Cricqueville-en-Auge</v>
          </cell>
          <cell r="C11">
            <v>75</v>
          </cell>
          <cell r="D11">
            <v>75</v>
          </cell>
          <cell r="E11">
            <v>94</v>
          </cell>
          <cell r="F11">
            <v>0.7978723404255319</v>
          </cell>
          <cell r="G11">
            <v>2</v>
          </cell>
          <cell r="H11"/>
          <cell r="I11"/>
          <cell r="J11" t="e">
            <v>#REF!</v>
          </cell>
          <cell r="K11" t="e">
            <v>#REF!</v>
          </cell>
          <cell r="L11" t="e">
            <v>#REF!</v>
          </cell>
          <cell r="M11">
            <v>0</v>
          </cell>
          <cell r="N11">
            <v>0</v>
          </cell>
          <cell r="O11">
            <v>0</v>
          </cell>
          <cell r="P11"/>
          <cell r="Q11"/>
          <cell r="R11"/>
          <cell r="S11"/>
          <cell r="T11">
            <v>2</v>
          </cell>
        </row>
        <row r="12">
          <cell r="A12" t="str">
            <v>14227</v>
          </cell>
          <cell r="B12" t="str">
            <v>Douville-en-Auge</v>
          </cell>
          <cell r="C12">
            <v>14</v>
          </cell>
          <cell r="D12">
            <v>13</v>
          </cell>
          <cell r="E12">
            <v>28</v>
          </cell>
          <cell r="F12">
            <v>0.5</v>
          </cell>
          <cell r="G12">
            <v>2</v>
          </cell>
          <cell r="H12"/>
          <cell r="I12"/>
          <cell r="J12" t="e">
            <v>#REF!</v>
          </cell>
          <cell r="K12" t="e">
            <v>#REF!</v>
          </cell>
          <cell r="L12" t="e">
            <v>#REF!</v>
          </cell>
          <cell r="M12">
            <v>0</v>
          </cell>
          <cell r="N12">
            <v>0</v>
          </cell>
          <cell r="O12">
            <v>0</v>
          </cell>
          <cell r="P12"/>
          <cell r="Q12"/>
          <cell r="R12"/>
          <cell r="S12"/>
          <cell r="T12">
            <v>2</v>
          </cell>
        </row>
        <row r="13">
          <cell r="A13" t="str">
            <v>14306</v>
          </cell>
          <cell r="B13" t="str">
            <v>Gonneville-en-Auge</v>
          </cell>
          <cell r="C13">
            <v>182</v>
          </cell>
          <cell r="D13">
            <v>182</v>
          </cell>
          <cell r="E13">
            <v>202</v>
          </cell>
          <cell r="F13">
            <v>0.90099009900990101</v>
          </cell>
          <cell r="G13">
            <v>1</v>
          </cell>
          <cell r="H13"/>
          <cell r="I13"/>
          <cell r="J13" t="e">
            <v>#REF!</v>
          </cell>
          <cell r="K13" t="e">
            <v>#REF!</v>
          </cell>
          <cell r="L13" t="e">
            <v>#REF!</v>
          </cell>
          <cell r="M13">
            <v>0</v>
          </cell>
          <cell r="N13">
            <v>0</v>
          </cell>
          <cell r="O13">
            <v>0</v>
          </cell>
          <cell r="P13"/>
          <cell r="Q13"/>
          <cell r="R13"/>
          <cell r="S13"/>
          <cell r="T13">
            <v>2</v>
          </cell>
        </row>
        <row r="14">
          <cell r="A14" t="str">
            <v>14308</v>
          </cell>
          <cell r="B14" t="str">
            <v>Goustranville</v>
          </cell>
          <cell r="C14">
            <v>152</v>
          </cell>
          <cell r="D14">
            <v>152</v>
          </cell>
          <cell r="E14">
            <v>172</v>
          </cell>
          <cell r="F14">
            <v>0.88372093023255816</v>
          </cell>
          <cell r="G14">
            <v>1</v>
          </cell>
          <cell r="H14"/>
          <cell r="I14"/>
          <cell r="J14" t="e">
            <v>#REF!</v>
          </cell>
          <cell r="K14" t="e">
            <v>#REF!</v>
          </cell>
          <cell r="L14" t="e">
            <v>#REF!</v>
          </cell>
          <cell r="M14">
            <v>0</v>
          </cell>
          <cell r="N14">
            <v>0</v>
          </cell>
          <cell r="O14">
            <v>0</v>
          </cell>
          <cell r="P14"/>
          <cell r="Q14"/>
          <cell r="R14"/>
          <cell r="S14"/>
          <cell r="T14">
            <v>2</v>
          </cell>
        </row>
        <row r="15">
          <cell r="A15" t="str">
            <v>14316</v>
          </cell>
          <cell r="B15" t="str">
            <v>Grangues</v>
          </cell>
          <cell r="C15">
            <v>98</v>
          </cell>
          <cell r="D15">
            <v>94</v>
          </cell>
          <cell r="E15">
            <v>155</v>
          </cell>
          <cell r="F15">
            <v>0.63225806451612898</v>
          </cell>
          <cell r="G15">
            <v>1</v>
          </cell>
          <cell r="H15"/>
          <cell r="I15"/>
          <cell r="J15" t="e">
            <v>#REF!</v>
          </cell>
          <cell r="K15" t="e">
            <v>#REF!</v>
          </cell>
          <cell r="L15" t="e">
            <v>#REF!</v>
          </cell>
          <cell r="M15">
            <v>0</v>
          </cell>
          <cell r="N15">
            <v>0</v>
          </cell>
          <cell r="O15">
            <v>0</v>
          </cell>
          <cell r="P15"/>
          <cell r="Q15"/>
          <cell r="R15"/>
          <cell r="S15"/>
          <cell r="T15">
            <v>2</v>
          </cell>
        </row>
        <row r="16">
          <cell r="A16" t="str">
            <v>14045</v>
          </cell>
          <cell r="B16" t="str">
            <v>Basseneville</v>
          </cell>
          <cell r="C16">
            <v>84</v>
          </cell>
          <cell r="D16">
            <v>84</v>
          </cell>
          <cell r="E16">
            <v>101</v>
          </cell>
          <cell r="F16">
            <v>0.83168316831683164</v>
          </cell>
          <cell r="G16">
            <v>1</v>
          </cell>
          <cell r="H16"/>
          <cell r="I16"/>
          <cell r="J16" t="e">
            <v>#REF!</v>
          </cell>
          <cell r="K16" t="e">
            <v>#REF!</v>
          </cell>
          <cell r="L16" t="e">
            <v>#REF!</v>
          </cell>
          <cell r="M16">
            <v>0</v>
          </cell>
          <cell r="N16">
            <v>0</v>
          </cell>
          <cell r="O16">
            <v>0</v>
          </cell>
          <cell r="P16"/>
          <cell r="Q16"/>
          <cell r="R16"/>
          <cell r="S16"/>
          <cell r="T16">
            <v>3</v>
          </cell>
        </row>
        <row r="17">
          <cell r="A17" t="str">
            <v>14231</v>
          </cell>
          <cell r="B17" t="str">
            <v>Beaufour-Druval</v>
          </cell>
          <cell r="C17">
            <v>222</v>
          </cell>
          <cell r="D17">
            <v>222</v>
          </cell>
          <cell r="E17">
            <v>286</v>
          </cell>
          <cell r="F17">
            <v>0.77622377622377625</v>
          </cell>
          <cell r="G17">
            <v>2</v>
          </cell>
          <cell r="H17"/>
          <cell r="I17"/>
          <cell r="J17" t="e">
            <v>#REF!</v>
          </cell>
          <cell r="K17" t="e">
            <v>#REF!</v>
          </cell>
          <cell r="L17" t="e">
            <v>#REF!</v>
          </cell>
          <cell r="M17">
            <v>0</v>
          </cell>
          <cell r="N17">
            <v>0</v>
          </cell>
          <cell r="O17">
            <v>0</v>
          </cell>
          <cell r="P17"/>
          <cell r="Q17"/>
          <cell r="R17"/>
          <cell r="S17"/>
          <cell r="T17">
            <v>3</v>
          </cell>
        </row>
        <row r="18">
          <cell r="A18" t="str">
            <v>14070</v>
          </cell>
          <cell r="B18" t="str">
            <v>Beuvron-en-Auge</v>
          </cell>
          <cell r="C18">
            <v>119</v>
          </cell>
          <cell r="D18">
            <v>123</v>
          </cell>
          <cell r="E18">
            <v>165</v>
          </cell>
          <cell r="F18">
            <v>0.74545454545454548</v>
          </cell>
          <cell r="G18">
            <v>2</v>
          </cell>
          <cell r="H18"/>
          <cell r="I18"/>
          <cell r="J18" t="e">
            <v>#REF!</v>
          </cell>
          <cell r="K18" t="e">
            <v>#REF!</v>
          </cell>
          <cell r="L18" t="e">
            <v>#REF!</v>
          </cell>
          <cell r="M18">
            <v>0</v>
          </cell>
          <cell r="N18">
            <v>0</v>
          </cell>
          <cell r="O18">
            <v>0</v>
          </cell>
          <cell r="P18"/>
          <cell r="Q18"/>
          <cell r="R18"/>
          <cell r="S18"/>
          <cell r="T18">
            <v>3</v>
          </cell>
        </row>
        <row r="19">
          <cell r="A19" t="str">
            <v>14110</v>
          </cell>
          <cell r="B19" t="str">
            <v>Brucourt</v>
          </cell>
          <cell r="C19">
            <v>49</v>
          </cell>
          <cell r="D19">
            <v>50</v>
          </cell>
          <cell r="E19">
            <v>64</v>
          </cell>
          <cell r="F19">
            <v>0.78125</v>
          </cell>
          <cell r="G19">
            <v>0</v>
          </cell>
          <cell r="H19"/>
          <cell r="I19"/>
          <cell r="J19" t="e">
            <v>#REF!</v>
          </cell>
          <cell r="K19" t="e">
            <v>#REF!</v>
          </cell>
          <cell r="L19" t="e">
            <v>#REF!</v>
          </cell>
          <cell r="M19">
            <v>0</v>
          </cell>
          <cell r="N19">
            <v>0</v>
          </cell>
          <cell r="O19">
            <v>0</v>
          </cell>
          <cell r="P19"/>
          <cell r="Q19"/>
          <cell r="R19"/>
          <cell r="S19"/>
          <cell r="T19">
            <v>3</v>
          </cell>
        </row>
        <row r="20">
          <cell r="A20" t="str">
            <v>14524</v>
          </cell>
          <cell r="B20" t="str">
            <v>Putot-en-Auge</v>
          </cell>
          <cell r="C20">
            <v>136</v>
          </cell>
          <cell r="D20">
            <v>136</v>
          </cell>
          <cell r="E20">
            <v>159</v>
          </cell>
          <cell r="F20">
            <v>0.85534591194968557</v>
          </cell>
          <cell r="G20">
            <v>1</v>
          </cell>
          <cell r="H20"/>
          <cell r="I20"/>
          <cell r="J20" t="e">
            <v>#REF!</v>
          </cell>
          <cell r="K20" t="e">
            <v>#REF!</v>
          </cell>
          <cell r="L20" t="e">
            <v>#REF!</v>
          </cell>
          <cell r="M20">
            <v>0</v>
          </cell>
          <cell r="N20">
            <v>0</v>
          </cell>
          <cell r="O20">
            <v>0</v>
          </cell>
          <cell r="P20"/>
          <cell r="Q20"/>
          <cell r="R20"/>
          <cell r="S20"/>
          <cell r="T20">
            <v>3</v>
          </cell>
        </row>
        <row r="21">
          <cell r="A21" t="str">
            <v>14598</v>
          </cell>
          <cell r="B21" t="str">
            <v>Saint-Jouin</v>
          </cell>
          <cell r="C21">
            <v>112</v>
          </cell>
          <cell r="D21">
            <v>115</v>
          </cell>
          <cell r="E21">
            <v>160</v>
          </cell>
          <cell r="F21">
            <v>0.71875</v>
          </cell>
          <cell r="G21">
            <v>1</v>
          </cell>
          <cell r="H21"/>
          <cell r="I21"/>
          <cell r="J21" t="e">
            <v>#REF!</v>
          </cell>
          <cell r="K21" t="e">
            <v>#REF!</v>
          </cell>
          <cell r="L21" t="e">
            <v>#REF!</v>
          </cell>
          <cell r="M21">
            <v>0</v>
          </cell>
          <cell r="N21">
            <v>0</v>
          </cell>
          <cell r="O21">
            <v>0</v>
          </cell>
          <cell r="P21"/>
          <cell r="Q21"/>
          <cell r="R21"/>
          <cell r="S21"/>
          <cell r="T21">
            <v>3</v>
          </cell>
        </row>
        <row r="22">
          <cell r="A22" t="str">
            <v>14009</v>
          </cell>
          <cell r="B22" t="str">
            <v>Amfreville</v>
          </cell>
          <cell r="C22">
            <v>590</v>
          </cell>
          <cell r="D22">
            <v>584</v>
          </cell>
          <cell r="E22">
            <v>622</v>
          </cell>
          <cell r="F22">
            <v>0.94855305466237938</v>
          </cell>
          <cell r="G22">
            <v>1</v>
          </cell>
          <cell r="H22"/>
          <cell r="I22"/>
          <cell r="J22" t="e">
            <v>#REF!</v>
          </cell>
          <cell r="K22" t="e">
            <v>#REF!</v>
          </cell>
          <cell r="L22" t="e">
            <v>#REF!</v>
          </cell>
          <cell r="M22">
            <v>0</v>
          </cell>
          <cell r="N22">
            <v>0</v>
          </cell>
          <cell r="O22">
            <v>0</v>
          </cell>
          <cell r="P22"/>
          <cell r="Q22"/>
          <cell r="R22"/>
          <cell r="S22"/>
          <cell r="T22">
            <v>4</v>
          </cell>
        </row>
        <row r="23">
          <cell r="A23" t="str">
            <v>14024</v>
          </cell>
          <cell r="B23" t="str">
            <v>Auberville</v>
          </cell>
          <cell r="C23">
            <v>212</v>
          </cell>
          <cell r="D23">
            <v>213</v>
          </cell>
          <cell r="E23">
            <v>269</v>
          </cell>
          <cell r="F23">
            <v>0.79182156133828996</v>
          </cell>
          <cell r="G23">
            <v>2</v>
          </cell>
          <cell r="H23" t="str">
            <v>Installer cabane à cartons sur la place de l'Eglise.</v>
          </cell>
          <cell r="I23"/>
          <cell r="J23" t="e">
            <v>#REF!</v>
          </cell>
          <cell r="K23" t="e">
            <v>#REF!</v>
          </cell>
          <cell r="L23" t="e">
            <v>#REF!</v>
          </cell>
          <cell r="M23">
            <v>2</v>
          </cell>
          <cell r="N23">
            <v>2</v>
          </cell>
          <cell r="O23">
            <v>0</v>
          </cell>
          <cell r="P23"/>
          <cell r="Q23"/>
          <cell r="R23"/>
          <cell r="S23"/>
          <cell r="T23">
            <v>4</v>
          </cell>
        </row>
        <row r="24">
          <cell r="A24" t="str">
            <v>14046</v>
          </cell>
          <cell r="B24" t="str">
            <v>Bavent</v>
          </cell>
          <cell r="C24">
            <v>773</v>
          </cell>
          <cell r="D24">
            <v>768</v>
          </cell>
          <cell r="E24">
            <v>837</v>
          </cell>
          <cell r="F24">
            <v>0.92353643966547194</v>
          </cell>
          <cell r="G24">
            <v>1</v>
          </cell>
          <cell r="H24"/>
          <cell r="I24"/>
          <cell r="J24" t="e">
            <v>#REF!</v>
          </cell>
          <cell r="K24" t="e">
            <v>#REF!</v>
          </cell>
          <cell r="L24" t="e">
            <v>#REF!</v>
          </cell>
          <cell r="M24">
            <v>0</v>
          </cell>
          <cell r="N24">
            <v>0</v>
          </cell>
          <cell r="O24">
            <v>1</v>
          </cell>
          <cell r="P24" t="str">
            <v xml:space="preserve">Enfouissement 1 V initialement prévu Rue de l'ancienne Ecole, plainte riverain, en attente. </v>
          </cell>
          <cell r="Q24"/>
          <cell r="R24"/>
          <cell r="S24"/>
          <cell r="T24">
            <v>4</v>
          </cell>
        </row>
        <row r="25">
          <cell r="A25" t="str">
            <v>14106</v>
          </cell>
          <cell r="B25" t="str">
            <v>Bréville-les-Monts</v>
          </cell>
          <cell r="C25">
            <v>293</v>
          </cell>
          <cell r="D25">
            <v>294</v>
          </cell>
          <cell r="E25">
            <v>317</v>
          </cell>
          <cell r="F25">
            <v>0.9274447949526814</v>
          </cell>
          <cell r="G25">
            <v>3</v>
          </cell>
          <cell r="H25"/>
          <cell r="I25"/>
          <cell r="J25" t="e">
            <v>#REF!</v>
          </cell>
          <cell r="K25" t="e">
            <v>#REF!</v>
          </cell>
          <cell r="L25" t="e">
            <v>#REF!</v>
          </cell>
          <cell r="M25">
            <v>0</v>
          </cell>
          <cell r="N25">
            <v>0</v>
          </cell>
          <cell r="O25">
            <v>0</v>
          </cell>
          <cell r="P25"/>
          <cell r="Q25"/>
          <cell r="R25"/>
          <cell r="S25"/>
          <cell r="T25">
            <v>4</v>
          </cell>
        </row>
        <row r="26">
          <cell r="A26" t="str">
            <v>14117</v>
          </cell>
          <cell r="B26" t="str">
            <v>Cabourg</v>
          </cell>
          <cell r="C26">
            <v>1403</v>
          </cell>
          <cell r="D26">
            <v>1394</v>
          </cell>
          <cell r="E26">
            <v>2359</v>
          </cell>
          <cell r="F26">
            <v>0.59474353539635438</v>
          </cell>
          <cell r="G26">
            <v>6</v>
          </cell>
          <cell r="H26"/>
          <cell r="I26"/>
          <cell r="J26" t="e">
            <v>#REF!</v>
          </cell>
          <cell r="K26" t="e">
            <v>#REF!</v>
          </cell>
          <cell r="L26" t="e">
            <v>#REF!</v>
          </cell>
          <cell r="M26">
            <v>4</v>
          </cell>
          <cell r="N26">
            <v>3</v>
          </cell>
          <cell r="O26">
            <v>2</v>
          </cell>
          <cell r="P26" t="str">
            <v xml:space="preserve">Avenue de la République niveau avenue de Bavent (2 OMR / 2J / 1V), Avenue de la Libération place de parking (1OMR / 1J / 1V), Rue du Pont de Pierre pour résidences (1 OMR), Avenue de Varaville (2 OMR / 2J / 1V), Place du marché (1V)
</v>
          </cell>
          <cell r="Q26"/>
          <cell r="R26"/>
          <cell r="S26" t="str">
            <v>OK</v>
          </cell>
          <cell r="T26">
            <v>4</v>
          </cell>
        </row>
        <row r="27">
          <cell r="A27" t="str">
            <v>14225</v>
          </cell>
          <cell r="B27" t="str">
            <v>Dives-sur-Mer</v>
          </cell>
          <cell r="C27">
            <v>1633</v>
          </cell>
          <cell r="D27">
            <v>1616</v>
          </cell>
          <cell r="E27">
            <v>2484</v>
          </cell>
          <cell r="F27">
            <v>0.65740740740740744</v>
          </cell>
          <cell r="G27">
            <v>6</v>
          </cell>
          <cell r="H27"/>
          <cell r="I27"/>
          <cell r="J27" t="e">
            <v>#REF!</v>
          </cell>
          <cell r="K27" t="e">
            <v>#REF!</v>
          </cell>
          <cell r="L27" t="e">
            <v>#REF!</v>
          </cell>
          <cell r="M27">
            <v>2</v>
          </cell>
          <cell r="N27">
            <v>2</v>
          </cell>
          <cell r="O27">
            <v>3</v>
          </cell>
          <cell r="P27" t="str">
            <v xml:space="preserve">Place de la République (1 OMR / 1J), Rue du Lavoir (1 V)
</v>
          </cell>
          <cell r="Q27"/>
          <cell r="R27"/>
          <cell r="S27"/>
          <cell r="T27">
            <v>4</v>
          </cell>
        </row>
        <row r="28">
          <cell r="A28" t="str">
            <v>14246</v>
          </cell>
          <cell r="B28" t="str">
            <v>Escoville</v>
          </cell>
          <cell r="C28">
            <v>434</v>
          </cell>
          <cell r="D28">
            <v>432</v>
          </cell>
          <cell r="E28">
            <v>471</v>
          </cell>
          <cell r="F28">
            <v>0.92144373673036095</v>
          </cell>
          <cell r="G28">
            <v>1</v>
          </cell>
          <cell r="H28"/>
          <cell r="I28"/>
          <cell r="J28" t="e">
            <v>#REF!</v>
          </cell>
          <cell r="K28" t="e">
            <v>#REF!</v>
          </cell>
          <cell r="L28" t="e">
            <v>#REF!</v>
          </cell>
          <cell r="M28">
            <v>0</v>
          </cell>
          <cell r="N28">
            <v>0</v>
          </cell>
          <cell r="O28">
            <v>0</v>
          </cell>
          <cell r="P28"/>
          <cell r="Q28"/>
          <cell r="R28"/>
          <cell r="S28"/>
          <cell r="T28">
            <v>4</v>
          </cell>
        </row>
        <row r="29">
          <cell r="A29" t="str">
            <v>14328</v>
          </cell>
          <cell r="B29" t="str">
            <v>Hérouvillette</v>
          </cell>
          <cell r="C29">
            <v>559</v>
          </cell>
          <cell r="D29">
            <v>559</v>
          </cell>
          <cell r="E29">
            <v>599</v>
          </cell>
          <cell r="F29">
            <v>0.93322203672787984</v>
          </cell>
          <cell r="G29">
            <v>1</v>
          </cell>
          <cell r="H29"/>
          <cell r="I29"/>
          <cell r="J29" t="e">
            <v>#REF!</v>
          </cell>
          <cell r="K29" t="e">
            <v>#REF!</v>
          </cell>
          <cell r="L29" t="e">
            <v>#REF!</v>
          </cell>
          <cell r="M29">
            <v>0</v>
          </cell>
          <cell r="N29">
            <v>0</v>
          </cell>
          <cell r="O29">
            <v>0</v>
          </cell>
          <cell r="P29"/>
          <cell r="Q29"/>
          <cell r="R29"/>
          <cell r="S29"/>
          <cell r="T29">
            <v>4</v>
          </cell>
        </row>
        <row r="30">
          <cell r="A30" t="str">
            <v>14329</v>
          </cell>
          <cell r="B30" t="str">
            <v>Heuland</v>
          </cell>
          <cell r="C30">
            <v>13</v>
          </cell>
          <cell r="D30">
            <v>13</v>
          </cell>
          <cell r="E30">
            <v>30</v>
          </cell>
          <cell r="F30">
            <v>0.43333333333333335</v>
          </cell>
          <cell r="G30">
            <v>0</v>
          </cell>
          <cell r="H30"/>
          <cell r="I30"/>
          <cell r="J30" t="e">
            <v>#REF!</v>
          </cell>
          <cell r="K30" t="e">
            <v>#REF!</v>
          </cell>
          <cell r="L30" t="e">
            <v>#REF!</v>
          </cell>
          <cell r="M30">
            <v>2</v>
          </cell>
          <cell r="N30">
            <v>2</v>
          </cell>
          <cell r="O30">
            <v>1</v>
          </cell>
          <cell r="P30"/>
          <cell r="Q30"/>
          <cell r="R30"/>
          <cell r="S30"/>
          <cell r="T30">
            <v>4</v>
          </cell>
        </row>
        <row r="31">
          <cell r="A31" t="str">
            <v>14338</v>
          </cell>
          <cell r="B31" t="str">
            <v>Houlgate</v>
          </cell>
          <cell r="C31">
            <v>548</v>
          </cell>
          <cell r="D31">
            <v>531</v>
          </cell>
          <cell r="E31">
            <v>1428</v>
          </cell>
          <cell r="F31">
            <v>0.38375350140056025</v>
          </cell>
          <cell r="G31">
            <v>5</v>
          </cell>
          <cell r="H31"/>
          <cell r="I31"/>
          <cell r="J31" t="e">
            <v>#REF!</v>
          </cell>
          <cell r="K31" t="e">
            <v>#REF!</v>
          </cell>
          <cell r="L31" t="e">
            <v>#REF!</v>
          </cell>
          <cell r="M31">
            <v>0</v>
          </cell>
          <cell r="N31">
            <v>0</v>
          </cell>
          <cell r="O31">
            <v>1</v>
          </cell>
          <cell r="P31" t="str">
            <v>Boulevard de l'Europe pour résidences secondaires (1 OMR / 1J / 1 V)</v>
          </cell>
          <cell r="Q31"/>
          <cell r="R31"/>
          <cell r="S31"/>
          <cell r="T31">
            <v>4</v>
          </cell>
        </row>
        <row r="32">
          <cell r="A32" t="str">
            <v>14409</v>
          </cell>
          <cell r="B32" t="str">
            <v>Merville-Franceville-Plage</v>
          </cell>
          <cell r="C32">
            <v>1145</v>
          </cell>
          <cell r="D32">
            <v>1146</v>
          </cell>
          <cell r="E32">
            <v>1641</v>
          </cell>
          <cell r="F32">
            <v>0.69835466179159045</v>
          </cell>
          <cell r="G32">
            <v>3</v>
          </cell>
          <cell r="H32"/>
          <cell r="I32"/>
          <cell r="J32" t="e">
            <v>#REF!</v>
          </cell>
          <cell r="K32" t="e">
            <v>#REF!</v>
          </cell>
          <cell r="L32" t="e">
            <v>#REF!</v>
          </cell>
          <cell r="M32">
            <v>1</v>
          </cell>
          <cell r="N32">
            <v>1</v>
          </cell>
          <cell r="O32">
            <v>1</v>
          </cell>
          <cell r="P32" t="str">
            <v xml:space="preserve">Avenue des Dunes, parking OT, pour résidences secondaires (1 OMR / 1 J / 1 V)
</v>
          </cell>
          <cell r="Q32"/>
          <cell r="R32"/>
          <cell r="S32"/>
          <cell r="T32">
            <v>4</v>
          </cell>
        </row>
        <row r="33">
          <cell r="A33" t="str">
            <v>14494</v>
          </cell>
          <cell r="B33" t="str">
            <v>Périers-en-Auge</v>
          </cell>
          <cell r="C33">
            <v>69</v>
          </cell>
          <cell r="D33">
            <v>68</v>
          </cell>
          <cell r="E33">
            <v>92</v>
          </cell>
          <cell r="F33">
            <v>0.75</v>
          </cell>
          <cell r="G33">
            <v>0</v>
          </cell>
          <cell r="H33"/>
          <cell r="I33"/>
          <cell r="J33" t="e">
            <v>#REF!</v>
          </cell>
          <cell r="K33" t="e">
            <v>#REF!</v>
          </cell>
          <cell r="L33" t="e">
            <v>#REF!</v>
          </cell>
          <cell r="M33">
            <v>0</v>
          </cell>
          <cell r="N33">
            <v>0</v>
          </cell>
          <cell r="O33">
            <v>0</v>
          </cell>
          <cell r="P33"/>
          <cell r="Q33"/>
          <cell r="R33"/>
          <cell r="S33"/>
          <cell r="T33">
            <v>4</v>
          </cell>
        </row>
        <row r="34">
          <cell r="A34" t="str">
            <v>14499</v>
          </cell>
          <cell r="B34" t="str">
            <v>Petiville</v>
          </cell>
          <cell r="C34">
            <v>230</v>
          </cell>
          <cell r="D34">
            <v>230</v>
          </cell>
          <cell r="E34">
            <v>252</v>
          </cell>
          <cell r="F34">
            <v>0.91269841269841268</v>
          </cell>
          <cell r="G34">
            <v>1</v>
          </cell>
          <cell r="H34"/>
          <cell r="I34"/>
          <cell r="J34" t="e">
            <v>#REF!</v>
          </cell>
          <cell r="K34" t="e">
            <v>#REF!</v>
          </cell>
          <cell r="L34" t="e">
            <v>#REF!</v>
          </cell>
          <cell r="M34">
            <v>0</v>
          </cell>
          <cell r="N34">
            <v>0</v>
          </cell>
          <cell r="O34">
            <v>0</v>
          </cell>
          <cell r="P34"/>
          <cell r="Q34"/>
          <cell r="R34"/>
          <cell r="S34"/>
          <cell r="T34">
            <v>4</v>
          </cell>
        </row>
        <row r="35">
          <cell r="A35" t="str">
            <v>14530</v>
          </cell>
          <cell r="B35" t="str">
            <v>Ranville</v>
          </cell>
          <cell r="C35">
            <v>965</v>
          </cell>
          <cell r="D35">
            <v>940</v>
          </cell>
          <cell r="E35">
            <v>1059</v>
          </cell>
          <cell r="F35">
            <v>0.9112370160528801</v>
          </cell>
          <cell r="G35">
            <v>5</v>
          </cell>
          <cell r="H35"/>
          <cell r="I35"/>
          <cell r="J35" t="e">
            <v>#REF!</v>
          </cell>
          <cell r="K35" t="e">
            <v>#REF!</v>
          </cell>
          <cell r="L35" t="e">
            <v>#REF!</v>
          </cell>
          <cell r="M35">
            <v>0</v>
          </cell>
          <cell r="N35">
            <v>0</v>
          </cell>
          <cell r="O35">
            <v>0</v>
          </cell>
          <cell r="P35"/>
          <cell r="Q35"/>
          <cell r="R35"/>
          <cell r="S35"/>
          <cell r="T35">
            <v>4</v>
          </cell>
        </row>
        <row r="36">
          <cell r="A36" t="str">
            <v>14606</v>
          </cell>
          <cell r="B36" t="str">
            <v>Saint-Léger-Dubosq</v>
          </cell>
          <cell r="C36">
            <v>100</v>
          </cell>
          <cell r="D36">
            <v>99</v>
          </cell>
          <cell r="E36">
            <v>131</v>
          </cell>
          <cell r="F36">
            <v>0.76335877862595425</v>
          </cell>
          <cell r="G36">
            <v>1</v>
          </cell>
          <cell r="H36"/>
          <cell r="I36"/>
          <cell r="J36" t="e">
            <v>#REF!</v>
          </cell>
          <cell r="K36" t="e">
            <v>#REF!</v>
          </cell>
          <cell r="L36" t="e">
            <v>#REF!</v>
          </cell>
          <cell r="M36">
            <v>0</v>
          </cell>
          <cell r="N36">
            <v>0</v>
          </cell>
          <cell r="O36">
            <v>0</v>
          </cell>
          <cell r="P36"/>
          <cell r="Q36"/>
          <cell r="R36"/>
          <cell r="S36"/>
          <cell r="T36">
            <v>4</v>
          </cell>
        </row>
        <row r="37">
          <cell r="A37" t="str">
            <v>14657</v>
          </cell>
          <cell r="B37" t="str">
            <v>Saint-Samson</v>
          </cell>
          <cell r="C37">
            <v>128</v>
          </cell>
          <cell r="D37">
            <v>131</v>
          </cell>
          <cell r="E37">
            <v>138</v>
          </cell>
          <cell r="F37">
            <v>0.94927536231884058</v>
          </cell>
          <cell r="G37">
            <v>0</v>
          </cell>
          <cell r="H37"/>
          <cell r="I37"/>
          <cell r="J37" t="e">
            <v>#REF!</v>
          </cell>
          <cell r="K37" t="e">
            <v>#REF!</v>
          </cell>
          <cell r="L37" t="e">
            <v>#REF!</v>
          </cell>
          <cell r="M37">
            <v>0</v>
          </cell>
          <cell r="N37">
            <v>0</v>
          </cell>
          <cell r="O37">
            <v>0</v>
          </cell>
          <cell r="P37"/>
          <cell r="Q37"/>
          <cell r="R37"/>
          <cell r="S37"/>
          <cell r="T37">
            <v>4</v>
          </cell>
        </row>
        <row r="38">
          <cell r="A38" t="str">
            <v>14660</v>
          </cell>
          <cell r="B38" t="str">
            <v>Saint-Vaast-en-Auge</v>
          </cell>
          <cell r="C38">
            <v>59</v>
          </cell>
          <cell r="D38">
            <v>56</v>
          </cell>
          <cell r="E38">
            <v>92</v>
          </cell>
          <cell r="F38">
            <v>0.64130434782608692</v>
          </cell>
          <cell r="G38">
            <v>0</v>
          </cell>
          <cell r="H38"/>
          <cell r="I38"/>
          <cell r="J38" t="e">
            <v>#REF!</v>
          </cell>
          <cell r="K38" t="e">
            <v>#REF!</v>
          </cell>
          <cell r="L38" t="e">
            <v>#REF!</v>
          </cell>
          <cell r="M38">
            <v>0</v>
          </cell>
          <cell r="N38">
            <v>0</v>
          </cell>
          <cell r="O38">
            <v>0</v>
          </cell>
          <cell r="P38"/>
          <cell r="Q38"/>
          <cell r="R38"/>
          <cell r="S38"/>
          <cell r="T38">
            <v>4</v>
          </cell>
        </row>
        <row r="39">
          <cell r="A39" t="str">
            <v>14698</v>
          </cell>
          <cell r="B39" t="str">
            <v>Touffréville</v>
          </cell>
          <cell r="C39">
            <v>138</v>
          </cell>
          <cell r="D39">
            <v>141</v>
          </cell>
          <cell r="E39">
            <v>165</v>
          </cell>
          <cell r="F39">
            <v>0.8545454545454545</v>
          </cell>
          <cell r="G39">
            <v>1</v>
          </cell>
          <cell r="H39"/>
          <cell r="I39"/>
          <cell r="J39" t="e">
            <v>#REF!</v>
          </cell>
          <cell r="K39" t="e">
            <v>#REF!</v>
          </cell>
          <cell r="L39" t="e">
            <v>#REF!</v>
          </cell>
          <cell r="M39">
            <v>0</v>
          </cell>
          <cell r="N39">
            <v>0</v>
          </cell>
          <cell r="O39">
            <v>0</v>
          </cell>
          <cell r="P39"/>
          <cell r="Q39"/>
          <cell r="R39"/>
          <cell r="S39"/>
          <cell r="T39">
            <v>4</v>
          </cell>
        </row>
        <row r="40">
          <cell r="A40" t="str">
            <v>14724</v>
          </cell>
          <cell r="B40" t="str">
            <v>Varaville</v>
          </cell>
          <cell r="C40">
            <v>485</v>
          </cell>
          <cell r="D40">
            <v>485</v>
          </cell>
          <cell r="E40">
            <v>931</v>
          </cell>
          <cell r="F40">
            <v>0.52094522019334044</v>
          </cell>
          <cell r="G40">
            <v>3</v>
          </cell>
          <cell r="H40" t="str">
            <v>3 implantations prévues : Mairie, Services techniques et ancienne déchèterie chaussée de Varaville.</v>
          </cell>
          <cell r="I40"/>
          <cell r="J40" t="e">
            <v>#REF!</v>
          </cell>
          <cell r="K40" t="e">
            <v>#REF!</v>
          </cell>
          <cell r="L40" t="e">
            <v>#REF!</v>
          </cell>
          <cell r="M40">
            <v>0</v>
          </cell>
          <cell r="N40">
            <v>0</v>
          </cell>
          <cell r="O40">
            <v>0</v>
          </cell>
          <cell r="P40"/>
          <cell r="Q40"/>
          <cell r="R40"/>
          <cell r="S40"/>
          <cell r="T40">
            <v>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ves MARTI" id="{5D693B40-29FE-43E2-A8DD-7EC63DA26CBB}" userId="S::y.marti@normandiecabourgpaysdauge.fr::717dbe20-e01e-45f4-a14c-cb71cb05136e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D58032CF-01CF-4A5B-A6AA-7BAB43A9CCF0}" autoFormatId="16" applyNumberFormats="0" applyBorderFormats="0" applyFontFormats="0" applyPatternFormats="0" applyAlignmentFormats="0" applyWidthHeightFormats="0">
  <queryTableRefresh nextId="10">
    <queryTableFields count="7">
      <queryTableField id="1" name="code_insee" tableColumnId="1"/>
      <queryTableField id="2" name="commune" tableColumnId="2"/>
      <queryTableField id="3" name="type" tableColumnId="3"/>
      <queryTableField id="4" name="latitude" tableColumnId="4"/>
      <queryTableField id="5" name="longitude" tableColumnId="5"/>
      <queryTableField id="6" name="a_faire" tableColumnId="6"/>
      <queryTableField id="9" name="EXISTANT / A CRÉ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8F171B-FAA2-4F60-9901-DB3E6E1EDEC0}" name="BDD_SUIVI_CHANTIERS" displayName="BDD_SUIVI_CHANTIERS" ref="A1:G143" tableType="queryTable" totalsRowShown="0">
  <autoFilter ref="A1:G143" xr:uid="{EB8F171B-FAA2-4F60-9901-DB3E6E1EDEC0}"/>
  <tableColumns count="7">
    <tableColumn id="1" xr3:uid="{D227354F-4378-4FFB-B203-97E6B26D459F}" uniqueName="1" name="code_insee" queryTableFieldId="1"/>
    <tableColumn id="2" xr3:uid="{0076E8C2-7657-4C4D-86A3-5B5FAEEB8E82}" uniqueName="2" name="commune" queryTableFieldId="2" dataDxfId="3"/>
    <tableColumn id="3" xr3:uid="{C1B44CB3-87DD-4EA0-9CD8-E05789DA6808}" uniqueName="3" name="type" queryTableFieldId="3" dataDxfId="2"/>
    <tableColumn id="4" xr3:uid="{AF0E6AB0-A895-4E52-8C34-645D56B009A3}" uniqueName="4" name="latitude" queryTableFieldId="4" dataDxfId="1"/>
    <tableColumn id="5" xr3:uid="{634CF582-55D4-4396-AFC2-3D295BAE9712}" uniqueName="5" name="longitude" queryTableFieldId="5" dataDxfId="0"/>
    <tableColumn id="6" xr3:uid="{A4F0D95D-4416-4018-96C8-A8AC9FB799F1}" uniqueName="6" name="a_faire" queryTableFieldId="6"/>
    <tableColumn id="7" xr3:uid="{F50AB07D-3855-4046-8ECA-917EAEDD82FD}" uniqueName="7" name="EXISTANT / A CRÉER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P138" totalsRowShown="0">
  <autoFilter ref="A2:P138" xr:uid="{00000000-0009-0000-0100-000001000000}"/>
  <tableColumns count="16">
    <tableColumn id="1" xr3:uid="{00000000-0010-0000-0000-000001000000}" name="Code INSEE"/>
    <tableColumn id="2" xr3:uid="{00000000-0010-0000-0000-000002000000}" name="Nom commune"/>
    <tableColumn id="3" xr3:uid="{00000000-0010-0000-0000-000003000000}" name="Type chantier"/>
    <tableColumn id="4" xr3:uid="{00000000-0010-0000-0000-000004000000}" name="latitude"/>
    <tableColumn id="5" xr3:uid="{00000000-0010-0000-0000-000005000000}" name="longitude"/>
    <tableColumn id="6" xr3:uid="{00000000-0010-0000-0000-000006000000}" name="Aperçu Google Maps"/>
    <tableColumn id="7" xr3:uid="{00000000-0010-0000-0000-000007000000}" name="Niveau de priorité (1 : priorité max)" dataDxfId="15">
      <calculatedColumnFormula>+VLOOKUP(TEXT(Tableau1[[#This Row],[Code INSEE]],"00000"),'[1]03_Déploiement_Prévu'!$A$3:$T$40,20,FALSE)</calculatedColumnFormula>
    </tableColumn>
    <tableColumn id="8" xr3:uid="{00000000-0010-0000-0000-000008000000}" name="Convention retournée signée"/>
    <tableColumn id="9" xr3:uid="{00000000-0010-0000-0000-000009000000}" name="Implantation validée par commune_x000a_Oui/ Non_x000a_Courier / mail"/>
    <tableColumn id="10" xr3:uid="{00000000-0010-0000-0000-00000A000000}" name="DT-DICT_x000a_Réalisée_x000a_Oui / non"/>
    <tableColumn id="11" xr3:uid="{00000000-0010-0000-0000-00000B000000}" name="Retour DT-DICT_x000a_Vérification emprise sous sol"/>
    <tableColumn id="12" xr3:uid="{00000000-0010-0000-0000-00000C000000}" name="Validation NCPA / Commune_x000a_= arrete de circulation /travaux"/>
    <tableColumn id="13" xr3:uid="{00000000-0010-0000-0000-00000D000000}" name="Communication_x000a_NCPA_x000a_+_x000a_Panneaux signalisation sur site"/>
    <tableColumn id="14" xr3:uid="{00000000-0010-0000-0000-00000E000000}" name="Début travaux"/>
    <tableColumn id="15" xr3:uid="{00000000-0010-0000-0000-00000F000000}" name="Fin travaux"/>
    <tableColumn id="16" xr3:uid="{00000000-0010-0000-0000-000010000000}" name="Mise en place équipe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6-30T09:39:02.09" personId="{5D693B40-29FE-43E2-A8DD-7EC63DA26CBB}" id="{5FFC8634-4E9A-496C-9DCD-F949E5740996}">
    <text xml:space="preserve">Nouvelles de Benjamin sur le contenu écrit ?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613283-FB8B-46E1-B5D1-A33D82DC6E2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4710854-a7cc-4ef6-8d6b-2133db64f1f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A949-C70A-40C2-A780-712500AC70C9}">
  <sheetPr>
    <tabColor rgb="FF00B0F0"/>
  </sheetPr>
  <dimension ref="A1:G143"/>
  <sheetViews>
    <sheetView tabSelected="1" topLeftCell="A52" workbookViewId="0">
      <selection activeCell="D63" sqref="D63"/>
    </sheetView>
  </sheetViews>
  <sheetFormatPr baseColWidth="10" defaultRowHeight="15" x14ac:dyDescent="0.25"/>
  <cols>
    <col min="1" max="1" width="13.5703125" bestFit="1" customWidth="1"/>
    <col min="2" max="2" width="24" bestFit="1" customWidth="1"/>
    <col min="3" max="3" width="21.5703125" bestFit="1" customWidth="1"/>
    <col min="4" max="4" width="18.7109375" bestFit="1" customWidth="1"/>
    <col min="5" max="5" width="23" bestFit="1" customWidth="1"/>
    <col min="6" max="6" width="13" bestFit="1" customWidth="1"/>
    <col min="7" max="7" width="21.42578125" bestFit="1" customWidth="1"/>
    <col min="8" max="8" width="13" customWidth="1"/>
  </cols>
  <sheetData>
    <row r="1" spans="1:7" x14ac:dyDescent="0.25">
      <c r="A1" t="s">
        <v>254</v>
      </c>
      <c r="B1" t="s">
        <v>255</v>
      </c>
      <c r="C1" t="s">
        <v>256</v>
      </c>
      <c r="D1" t="s">
        <v>137</v>
      </c>
      <c r="E1" t="s">
        <v>138</v>
      </c>
      <c r="F1" t="s">
        <v>257</v>
      </c>
      <c r="G1" t="s">
        <v>421</v>
      </c>
    </row>
    <row r="2" spans="1:7" x14ac:dyDescent="0.25">
      <c r="A2">
        <v>14009</v>
      </c>
      <c r="B2" s="153" t="s">
        <v>105</v>
      </c>
      <c r="C2" s="153" t="s">
        <v>91</v>
      </c>
      <c r="D2" s="153" t="s">
        <v>196</v>
      </c>
      <c r="E2" s="153" t="s">
        <v>197</v>
      </c>
      <c r="F2" t="s">
        <v>258</v>
      </c>
    </row>
    <row r="3" spans="1:7" x14ac:dyDescent="0.25">
      <c r="A3">
        <v>14070</v>
      </c>
      <c r="B3" s="153" t="s">
        <v>101</v>
      </c>
      <c r="C3" s="153" t="s">
        <v>91</v>
      </c>
      <c r="D3" s="153" t="s">
        <v>530</v>
      </c>
      <c r="E3" s="153" t="s">
        <v>531</v>
      </c>
      <c r="F3" t="s">
        <v>258</v>
      </c>
    </row>
    <row r="4" spans="1:7" x14ac:dyDescent="0.25">
      <c r="A4">
        <v>14070</v>
      </c>
      <c r="B4" s="153" t="s">
        <v>101</v>
      </c>
      <c r="C4" s="153" t="s">
        <v>91</v>
      </c>
      <c r="D4" s="153" t="s">
        <v>532</v>
      </c>
      <c r="E4" s="153" t="s">
        <v>533</v>
      </c>
      <c r="F4" t="s">
        <v>258</v>
      </c>
    </row>
    <row r="5" spans="1:7" x14ac:dyDescent="0.25">
      <c r="A5">
        <v>14117</v>
      </c>
      <c r="B5" s="153" t="s">
        <v>109</v>
      </c>
      <c r="C5" s="153" t="s">
        <v>91</v>
      </c>
      <c r="D5" s="153" t="s">
        <v>411</v>
      </c>
      <c r="E5" s="153" t="s">
        <v>412</v>
      </c>
      <c r="F5" t="s">
        <v>258</v>
      </c>
    </row>
    <row r="6" spans="1:7" x14ac:dyDescent="0.25">
      <c r="A6">
        <v>14117</v>
      </c>
      <c r="B6" s="153" t="s">
        <v>109</v>
      </c>
      <c r="C6" s="153" t="s">
        <v>91</v>
      </c>
      <c r="D6" s="153" t="s">
        <v>413</v>
      </c>
      <c r="E6" s="153" t="s">
        <v>414</v>
      </c>
      <c r="F6" t="s">
        <v>258</v>
      </c>
    </row>
    <row r="7" spans="1:7" x14ac:dyDescent="0.25">
      <c r="A7">
        <v>14203</v>
      </c>
      <c r="B7" s="153" t="s">
        <v>94</v>
      </c>
      <c r="C7" s="153" t="s">
        <v>91</v>
      </c>
      <c r="D7" s="153" t="s">
        <v>394</v>
      </c>
      <c r="E7" s="153" t="s">
        <v>395</v>
      </c>
      <c r="F7" t="s">
        <v>258</v>
      </c>
    </row>
    <row r="8" spans="1:7" x14ac:dyDescent="0.25">
      <c r="A8">
        <v>14229</v>
      </c>
      <c r="B8" s="153" t="s">
        <v>86</v>
      </c>
      <c r="C8" s="153" t="s">
        <v>91</v>
      </c>
      <c r="D8" s="153" t="s">
        <v>509</v>
      </c>
      <c r="E8" s="153" t="s">
        <v>510</v>
      </c>
      <c r="F8" t="s">
        <v>258</v>
      </c>
    </row>
    <row r="9" spans="1:7" x14ac:dyDescent="0.25">
      <c r="A9">
        <v>14229</v>
      </c>
      <c r="B9" s="153" t="s">
        <v>86</v>
      </c>
      <c r="C9" s="153" t="s">
        <v>91</v>
      </c>
      <c r="D9" s="153" t="s">
        <v>415</v>
      </c>
      <c r="E9" s="153" t="s">
        <v>416</v>
      </c>
      <c r="F9" t="s">
        <v>258</v>
      </c>
    </row>
    <row r="10" spans="1:7" x14ac:dyDescent="0.25">
      <c r="A10">
        <v>14229</v>
      </c>
      <c r="B10" s="153" t="s">
        <v>86</v>
      </c>
      <c r="C10" s="153" t="s">
        <v>91</v>
      </c>
      <c r="D10" s="153" t="s">
        <v>417</v>
      </c>
      <c r="E10" s="153" t="s">
        <v>418</v>
      </c>
      <c r="F10" t="s">
        <v>258</v>
      </c>
    </row>
    <row r="11" spans="1:7" x14ac:dyDescent="0.25">
      <c r="A11">
        <v>14231</v>
      </c>
      <c r="B11" s="153" t="s">
        <v>100</v>
      </c>
      <c r="C11" s="153" t="s">
        <v>91</v>
      </c>
      <c r="D11" s="153" t="s">
        <v>396</v>
      </c>
      <c r="E11" s="153" t="s">
        <v>397</v>
      </c>
      <c r="F11" t="s">
        <v>258</v>
      </c>
    </row>
    <row r="12" spans="1:7" x14ac:dyDescent="0.25">
      <c r="A12">
        <v>14246</v>
      </c>
      <c r="B12" s="153" t="s">
        <v>129</v>
      </c>
      <c r="C12" s="153" t="s">
        <v>91</v>
      </c>
      <c r="D12" s="153" t="s">
        <v>511</v>
      </c>
      <c r="E12" s="153" t="s">
        <v>512</v>
      </c>
      <c r="F12" t="s">
        <v>258</v>
      </c>
    </row>
    <row r="13" spans="1:7" x14ac:dyDescent="0.25">
      <c r="A13">
        <v>14306</v>
      </c>
      <c r="B13" s="153" t="s">
        <v>96</v>
      </c>
      <c r="C13" s="153" t="s">
        <v>91</v>
      </c>
      <c r="D13" s="153" t="s">
        <v>419</v>
      </c>
      <c r="E13" s="153" t="s">
        <v>420</v>
      </c>
      <c r="F13" t="s">
        <v>258</v>
      </c>
    </row>
    <row r="14" spans="1:7" x14ac:dyDescent="0.25">
      <c r="A14">
        <v>14316</v>
      </c>
      <c r="B14" s="153" t="s">
        <v>98</v>
      </c>
      <c r="C14" s="153" t="s">
        <v>91</v>
      </c>
      <c r="D14" s="153" t="s">
        <v>515</v>
      </c>
      <c r="E14" s="153" t="s">
        <v>516</v>
      </c>
      <c r="F14" t="s">
        <v>258</v>
      </c>
    </row>
    <row r="15" spans="1:7" x14ac:dyDescent="0.25">
      <c r="A15">
        <v>14338</v>
      </c>
      <c r="B15" s="153" t="s">
        <v>112</v>
      </c>
      <c r="C15" s="153" t="s">
        <v>91</v>
      </c>
      <c r="D15" s="153" t="s">
        <v>398</v>
      </c>
      <c r="E15" s="153" t="s">
        <v>399</v>
      </c>
      <c r="F15" t="s">
        <v>258</v>
      </c>
    </row>
    <row r="16" spans="1:7" x14ac:dyDescent="0.25">
      <c r="A16">
        <v>14524</v>
      </c>
      <c r="B16" s="153" t="s">
        <v>103</v>
      </c>
      <c r="C16" s="153" t="s">
        <v>91</v>
      </c>
      <c r="D16" s="153" t="s">
        <v>202</v>
      </c>
      <c r="E16" s="153" t="s">
        <v>203</v>
      </c>
      <c r="F16" t="s">
        <v>258</v>
      </c>
    </row>
    <row r="17" spans="1:6" x14ac:dyDescent="0.25">
      <c r="A17">
        <v>14530</v>
      </c>
      <c r="B17" s="153" t="s">
        <v>114</v>
      </c>
      <c r="C17" s="153" t="s">
        <v>91</v>
      </c>
      <c r="D17" s="153" t="s">
        <v>479</v>
      </c>
      <c r="E17" s="153" t="s">
        <v>480</v>
      </c>
      <c r="F17" t="s">
        <v>258</v>
      </c>
    </row>
    <row r="18" spans="1:6" x14ac:dyDescent="0.25">
      <c r="A18">
        <v>14598</v>
      </c>
      <c r="B18" s="153" t="s">
        <v>104</v>
      </c>
      <c r="C18" s="153" t="s">
        <v>91</v>
      </c>
      <c r="D18" s="153" t="s">
        <v>400</v>
      </c>
      <c r="E18" s="153" t="s">
        <v>401</v>
      </c>
      <c r="F18" t="s">
        <v>258</v>
      </c>
    </row>
    <row r="19" spans="1:6" x14ac:dyDescent="0.25">
      <c r="A19">
        <v>14665</v>
      </c>
      <c r="B19" s="153" t="s">
        <v>90</v>
      </c>
      <c r="C19" s="153" t="s">
        <v>91</v>
      </c>
      <c r="D19" s="153" t="s">
        <v>204</v>
      </c>
      <c r="E19" s="153" t="s">
        <v>205</v>
      </c>
      <c r="F19" t="s">
        <v>258</v>
      </c>
    </row>
    <row r="20" spans="1:6" x14ac:dyDescent="0.25">
      <c r="A20">
        <v>14743</v>
      </c>
      <c r="B20" s="153" t="s">
        <v>136</v>
      </c>
      <c r="C20" s="153" t="s">
        <v>91</v>
      </c>
      <c r="D20" s="153" t="s">
        <v>392</v>
      </c>
      <c r="E20" s="153" t="s">
        <v>393</v>
      </c>
      <c r="F20" t="s">
        <v>258</v>
      </c>
    </row>
    <row r="21" spans="1:6" x14ac:dyDescent="0.25">
      <c r="A21">
        <v>14743</v>
      </c>
      <c r="B21" s="153" t="s">
        <v>136</v>
      </c>
      <c r="C21" s="153" t="s">
        <v>91</v>
      </c>
      <c r="D21" s="153" t="s">
        <v>402</v>
      </c>
      <c r="E21" s="153" t="s">
        <v>403</v>
      </c>
      <c r="F21" t="s">
        <v>258</v>
      </c>
    </row>
    <row r="22" spans="1:6" x14ac:dyDescent="0.25">
      <c r="A22">
        <v>14009</v>
      </c>
      <c r="B22" s="153" t="s">
        <v>105</v>
      </c>
      <c r="C22" s="153" t="s">
        <v>87</v>
      </c>
      <c r="D22" s="153" t="s">
        <v>150</v>
      </c>
      <c r="E22" s="153" t="s">
        <v>151</v>
      </c>
      <c r="F22" t="s">
        <v>258</v>
      </c>
    </row>
    <row r="23" spans="1:6" x14ac:dyDescent="0.25">
      <c r="A23">
        <v>14009</v>
      </c>
      <c r="B23" s="153" t="s">
        <v>105</v>
      </c>
      <c r="C23" s="153" t="s">
        <v>87</v>
      </c>
      <c r="D23" s="153" t="s">
        <v>152</v>
      </c>
      <c r="E23" s="153" t="s">
        <v>153</v>
      </c>
      <c r="F23" t="s">
        <v>258</v>
      </c>
    </row>
    <row r="24" spans="1:6" x14ac:dyDescent="0.25">
      <c r="A24">
        <v>14024</v>
      </c>
      <c r="B24" s="153" t="s">
        <v>106</v>
      </c>
      <c r="C24" s="153" t="s">
        <v>87</v>
      </c>
      <c r="D24" s="153" t="s">
        <v>154</v>
      </c>
      <c r="E24" s="153" t="s">
        <v>155</v>
      </c>
      <c r="F24" t="s">
        <v>258</v>
      </c>
    </row>
    <row r="25" spans="1:6" x14ac:dyDescent="0.25">
      <c r="A25">
        <v>14046</v>
      </c>
      <c r="B25" s="153" t="s">
        <v>107</v>
      </c>
      <c r="C25" s="153" t="s">
        <v>87</v>
      </c>
      <c r="D25" s="153" t="s">
        <v>156</v>
      </c>
      <c r="E25" s="153" t="s">
        <v>157</v>
      </c>
      <c r="F25" t="s">
        <v>258</v>
      </c>
    </row>
    <row r="26" spans="1:6" x14ac:dyDescent="0.25">
      <c r="A26">
        <v>14046</v>
      </c>
      <c r="B26" s="153" t="s">
        <v>107</v>
      </c>
      <c r="C26" s="153" t="s">
        <v>87</v>
      </c>
      <c r="D26" s="153" t="s">
        <v>158</v>
      </c>
      <c r="E26" s="153" t="s">
        <v>159</v>
      </c>
      <c r="F26" t="s">
        <v>258</v>
      </c>
    </row>
    <row r="27" spans="1:6" x14ac:dyDescent="0.25">
      <c r="A27">
        <v>14106</v>
      </c>
      <c r="B27" s="153" t="s">
        <v>108</v>
      </c>
      <c r="C27" s="153" t="s">
        <v>87</v>
      </c>
      <c r="D27" s="153" t="s">
        <v>493</v>
      </c>
      <c r="E27" s="153" t="s">
        <v>494</v>
      </c>
      <c r="F27" t="s">
        <v>258</v>
      </c>
    </row>
    <row r="28" spans="1:6" x14ac:dyDescent="0.25">
      <c r="A28">
        <v>14110</v>
      </c>
      <c r="B28" s="153" t="s">
        <v>102</v>
      </c>
      <c r="C28" s="153" t="s">
        <v>87</v>
      </c>
      <c r="D28" s="153" t="s">
        <v>160</v>
      </c>
      <c r="E28" s="153" t="s">
        <v>161</v>
      </c>
      <c r="F28" t="s">
        <v>258</v>
      </c>
    </row>
    <row r="29" spans="1:6" x14ac:dyDescent="0.25">
      <c r="A29">
        <v>14117</v>
      </c>
      <c r="B29" s="153" t="s">
        <v>109</v>
      </c>
      <c r="C29" s="153" t="s">
        <v>87</v>
      </c>
      <c r="D29" s="153" t="s">
        <v>162</v>
      </c>
      <c r="E29" s="153" t="s">
        <v>163</v>
      </c>
      <c r="F29" t="s">
        <v>258</v>
      </c>
    </row>
    <row r="30" spans="1:6" x14ac:dyDescent="0.25">
      <c r="A30">
        <v>14117</v>
      </c>
      <c r="B30" s="153" t="s">
        <v>109</v>
      </c>
      <c r="C30" s="153" t="s">
        <v>87</v>
      </c>
      <c r="D30" s="153" t="s">
        <v>164</v>
      </c>
      <c r="E30" s="153" t="s">
        <v>165</v>
      </c>
      <c r="F30" t="s">
        <v>258</v>
      </c>
    </row>
    <row r="31" spans="1:6" x14ac:dyDescent="0.25">
      <c r="A31">
        <v>14117</v>
      </c>
      <c r="B31" s="153" t="s">
        <v>109</v>
      </c>
      <c r="C31" s="153" t="s">
        <v>87</v>
      </c>
      <c r="D31" s="153" t="s">
        <v>503</v>
      </c>
      <c r="E31" s="153" t="s">
        <v>504</v>
      </c>
      <c r="F31" t="s">
        <v>258</v>
      </c>
    </row>
    <row r="32" spans="1:6" x14ac:dyDescent="0.25">
      <c r="A32">
        <v>14198</v>
      </c>
      <c r="B32" s="153" t="s">
        <v>93</v>
      </c>
      <c r="C32" s="153" t="s">
        <v>87</v>
      </c>
      <c r="D32" s="153" t="s">
        <v>495</v>
      </c>
      <c r="E32" s="153" t="s">
        <v>496</v>
      </c>
      <c r="F32" t="s">
        <v>258</v>
      </c>
    </row>
    <row r="33" spans="1:6" x14ac:dyDescent="0.25">
      <c r="A33">
        <v>14225</v>
      </c>
      <c r="B33" s="153" t="s">
        <v>110</v>
      </c>
      <c r="C33" s="153" t="s">
        <v>87</v>
      </c>
      <c r="D33" s="153" t="s">
        <v>166</v>
      </c>
      <c r="E33" s="153" t="s">
        <v>167</v>
      </c>
      <c r="F33" t="s">
        <v>258</v>
      </c>
    </row>
    <row r="34" spans="1:6" x14ac:dyDescent="0.25">
      <c r="A34">
        <v>14225</v>
      </c>
      <c r="B34" s="153" t="s">
        <v>110</v>
      </c>
      <c r="C34" s="153" t="s">
        <v>87</v>
      </c>
      <c r="D34" s="153" t="s">
        <v>168</v>
      </c>
      <c r="E34" s="153" t="s">
        <v>169</v>
      </c>
      <c r="F34" t="s">
        <v>258</v>
      </c>
    </row>
    <row r="35" spans="1:6" x14ac:dyDescent="0.25">
      <c r="A35">
        <v>14225</v>
      </c>
      <c r="B35" s="153" t="s">
        <v>110</v>
      </c>
      <c r="C35" s="153" t="s">
        <v>87</v>
      </c>
      <c r="D35" s="153" t="s">
        <v>170</v>
      </c>
      <c r="E35" s="153" t="s">
        <v>171</v>
      </c>
      <c r="F35" t="s">
        <v>258</v>
      </c>
    </row>
    <row r="36" spans="1:6" x14ac:dyDescent="0.25">
      <c r="A36">
        <v>14225</v>
      </c>
      <c r="B36" s="153" t="s">
        <v>110</v>
      </c>
      <c r="C36" s="153" t="s">
        <v>87</v>
      </c>
      <c r="D36" s="153" t="s">
        <v>172</v>
      </c>
      <c r="E36" s="153" t="s">
        <v>173</v>
      </c>
      <c r="F36" t="s">
        <v>258</v>
      </c>
    </row>
    <row r="37" spans="1:6" x14ac:dyDescent="0.25">
      <c r="A37">
        <v>14227</v>
      </c>
      <c r="B37" s="153" t="s">
        <v>95</v>
      </c>
      <c r="C37" s="153" t="s">
        <v>87</v>
      </c>
      <c r="D37" s="153" t="s">
        <v>497</v>
      </c>
      <c r="E37" s="153" t="s">
        <v>498</v>
      </c>
      <c r="F37" t="s">
        <v>258</v>
      </c>
    </row>
    <row r="38" spans="1:6" x14ac:dyDescent="0.25">
      <c r="A38">
        <v>14229</v>
      </c>
      <c r="B38" s="153" t="s">
        <v>86</v>
      </c>
      <c r="C38" s="153" t="s">
        <v>87</v>
      </c>
      <c r="D38" s="153" t="s">
        <v>174</v>
      </c>
      <c r="E38" s="153" t="s">
        <v>175</v>
      </c>
      <c r="F38" t="s">
        <v>258</v>
      </c>
    </row>
    <row r="39" spans="1:6" x14ac:dyDescent="0.25">
      <c r="A39">
        <v>14306</v>
      </c>
      <c r="B39" s="153" t="s">
        <v>96</v>
      </c>
      <c r="C39" s="153" t="s">
        <v>87</v>
      </c>
      <c r="D39" s="153" t="s">
        <v>513</v>
      </c>
      <c r="E39" s="153" t="s">
        <v>514</v>
      </c>
      <c r="F39" t="s">
        <v>258</v>
      </c>
    </row>
    <row r="40" spans="1:6" x14ac:dyDescent="0.25">
      <c r="A40">
        <v>14305</v>
      </c>
      <c r="B40" s="153" t="s">
        <v>88</v>
      </c>
      <c r="C40" s="153" t="s">
        <v>87</v>
      </c>
      <c r="D40" s="153" t="s">
        <v>499</v>
      </c>
      <c r="E40" s="153" t="s">
        <v>500</v>
      </c>
      <c r="F40" t="s">
        <v>258</v>
      </c>
    </row>
    <row r="41" spans="1:6" x14ac:dyDescent="0.25">
      <c r="A41">
        <v>14305</v>
      </c>
      <c r="B41" s="153" t="s">
        <v>88</v>
      </c>
      <c r="C41" s="153" t="s">
        <v>87</v>
      </c>
      <c r="D41" s="153" t="s">
        <v>176</v>
      </c>
      <c r="E41" s="153" t="s">
        <v>177</v>
      </c>
      <c r="F41" t="s">
        <v>258</v>
      </c>
    </row>
    <row r="42" spans="1:6" x14ac:dyDescent="0.25">
      <c r="A42">
        <v>14338</v>
      </c>
      <c r="B42" s="153" t="s">
        <v>112</v>
      </c>
      <c r="C42" s="153" t="s">
        <v>87</v>
      </c>
      <c r="D42" s="153" t="s">
        <v>501</v>
      </c>
      <c r="E42" s="153" t="s">
        <v>502</v>
      </c>
      <c r="F42" t="s">
        <v>258</v>
      </c>
    </row>
    <row r="43" spans="1:6" x14ac:dyDescent="0.25">
      <c r="A43">
        <v>14409</v>
      </c>
      <c r="B43" s="153" t="s">
        <v>113</v>
      </c>
      <c r="C43" s="153" t="s">
        <v>87</v>
      </c>
      <c r="D43" s="153" t="s">
        <v>180</v>
      </c>
      <c r="E43" s="153" t="s">
        <v>181</v>
      </c>
      <c r="F43" t="s">
        <v>258</v>
      </c>
    </row>
    <row r="44" spans="1:6" x14ac:dyDescent="0.25">
      <c r="A44">
        <v>14409</v>
      </c>
      <c r="B44" s="153" t="s">
        <v>113</v>
      </c>
      <c r="C44" s="153" t="s">
        <v>87</v>
      </c>
      <c r="D44" s="153" t="s">
        <v>182</v>
      </c>
      <c r="E44" s="153" t="s">
        <v>183</v>
      </c>
      <c r="F44" t="s">
        <v>258</v>
      </c>
    </row>
    <row r="45" spans="1:6" x14ac:dyDescent="0.25">
      <c r="A45">
        <v>14530</v>
      </c>
      <c r="B45" s="153" t="s">
        <v>114</v>
      </c>
      <c r="C45" s="153" t="s">
        <v>87</v>
      </c>
      <c r="D45" s="153" t="s">
        <v>184</v>
      </c>
      <c r="E45" s="153" t="s">
        <v>185</v>
      </c>
      <c r="F45" t="s">
        <v>258</v>
      </c>
    </row>
    <row r="46" spans="1:6" x14ac:dyDescent="0.25">
      <c r="A46">
        <v>14550</v>
      </c>
      <c r="B46" s="153" t="s">
        <v>89</v>
      </c>
      <c r="C46" s="153" t="s">
        <v>87</v>
      </c>
      <c r="D46" s="153" t="s">
        <v>186</v>
      </c>
      <c r="E46" s="153" t="s">
        <v>187</v>
      </c>
      <c r="F46" t="s">
        <v>258</v>
      </c>
    </row>
    <row r="47" spans="1:6" x14ac:dyDescent="0.25">
      <c r="A47">
        <v>14660</v>
      </c>
      <c r="B47" s="153" t="s">
        <v>116</v>
      </c>
      <c r="C47" s="153" t="s">
        <v>87</v>
      </c>
      <c r="D47" s="153" t="s">
        <v>188</v>
      </c>
      <c r="E47" s="153" t="s">
        <v>189</v>
      </c>
      <c r="F47" t="s">
        <v>258</v>
      </c>
    </row>
    <row r="48" spans="1:6" x14ac:dyDescent="0.25">
      <c r="A48">
        <v>14665</v>
      </c>
      <c r="B48" s="153" t="s">
        <v>90</v>
      </c>
      <c r="C48" s="153" t="s">
        <v>87</v>
      </c>
      <c r="D48" s="153" t="s">
        <v>190</v>
      </c>
      <c r="E48" s="153" t="s">
        <v>191</v>
      </c>
      <c r="F48" t="s">
        <v>258</v>
      </c>
    </row>
    <row r="49" spans="1:7" x14ac:dyDescent="0.25">
      <c r="A49">
        <v>14724</v>
      </c>
      <c r="B49" s="153" t="s">
        <v>117</v>
      </c>
      <c r="C49" s="153" t="s">
        <v>87</v>
      </c>
      <c r="D49" s="153" t="s">
        <v>192</v>
      </c>
      <c r="E49" s="153" t="s">
        <v>193</v>
      </c>
      <c r="F49" t="s">
        <v>258</v>
      </c>
    </row>
    <row r="50" spans="1:7" x14ac:dyDescent="0.25">
      <c r="A50">
        <v>14743</v>
      </c>
      <c r="B50" s="153" t="s">
        <v>92</v>
      </c>
      <c r="C50" s="153" t="s">
        <v>87</v>
      </c>
      <c r="D50" s="153" t="s">
        <v>194</v>
      </c>
      <c r="E50" s="153" t="s">
        <v>195</v>
      </c>
      <c r="F50" t="s">
        <v>258</v>
      </c>
    </row>
    <row r="51" spans="1:7" x14ac:dyDescent="0.25">
      <c r="A51">
        <v>14009</v>
      </c>
      <c r="B51" s="153" t="s">
        <v>105</v>
      </c>
      <c r="C51" s="153" t="s">
        <v>85</v>
      </c>
      <c r="D51" s="153" t="s">
        <v>214</v>
      </c>
      <c r="E51" s="153" t="s">
        <v>215</v>
      </c>
      <c r="F51" t="s">
        <v>258</v>
      </c>
      <c r="G51" t="s">
        <v>422</v>
      </c>
    </row>
    <row r="52" spans="1:7" x14ac:dyDescent="0.25">
      <c r="A52">
        <v>14009</v>
      </c>
      <c r="B52" s="153" t="s">
        <v>105</v>
      </c>
      <c r="C52" s="153" t="s">
        <v>85</v>
      </c>
      <c r="D52" s="153" t="s">
        <v>214</v>
      </c>
      <c r="E52" s="153" t="s">
        <v>215</v>
      </c>
      <c r="F52" t="s">
        <v>258</v>
      </c>
      <c r="G52" t="s">
        <v>422</v>
      </c>
    </row>
    <row r="53" spans="1:7" x14ac:dyDescent="0.25">
      <c r="A53">
        <v>14012</v>
      </c>
      <c r="B53" s="153" t="s">
        <v>84</v>
      </c>
      <c r="C53" s="153" t="s">
        <v>85</v>
      </c>
      <c r="D53" s="153" t="s">
        <v>423</v>
      </c>
      <c r="E53" s="153" t="s">
        <v>424</v>
      </c>
      <c r="F53" t="s">
        <v>258</v>
      </c>
      <c r="G53" t="s">
        <v>425</v>
      </c>
    </row>
    <row r="54" spans="1:7" x14ac:dyDescent="0.25">
      <c r="A54">
        <v>14012</v>
      </c>
      <c r="B54" s="153" t="s">
        <v>84</v>
      </c>
      <c r="C54" s="153" t="s">
        <v>85</v>
      </c>
      <c r="D54" s="153" t="s">
        <v>259</v>
      </c>
      <c r="E54" s="153" t="s">
        <v>260</v>
      </c>
      <c r="F54" t="s">
        <v>258</v>
      </c>
      <c r="G54" t="s">
        <v>422</v>
      </c>
    </row>
    <row r="55" spans="1:7" x14ac:dyDescent="0.25">
      <c r="A55">
        <v>14012</v>
      </c>
      <c r="B55" s="153" t="s">
        <v>84</v>
      </c>
      <c r="C55" s="153" t="s">
        <v>85</v>
      </c>
      <c r="D55" s="153" t="s">
        <v>261</v>
      </c>
      <c r="E55" s="153" t="s">
        <v>262</v>
      </c>
      <c r="F55" t="s">
        <v>258</v>
      </c>
      <c r="G55" t="s">
        <v>426</v>
      </c>
    </row>
    <row r="56" spans="1:7" x14ac:dyDescent="0.25">
      <c r="A56">
        <v>14012</v>
      </c>
      <c r="B56" s="153" t="s">
        <v>84</v>
      </c>
      <c r="C56" s="153" t="s">
        <v>85</v>
      </c>
      <c r="D56" s="153" t="s">
        <v>263</v>
      </c>
      <c r="E56" s="153" t="s">
        <v>264</v>
      </c>
      <c r="F56" t="s">
        <v>258</v>
      </c>
      <c r="G56" t="s">
        <v>426</v>
      </c>
    </row>
    <row r="57" spans="1:7" x14ac:dyDescent="0.25">
      <c r="A57">
        <v>14024</v>
      </c>
      <c r="B57" s="153" t="s">
        <v>106</v>
      </c>
      <c r="C57" s="153" t="s">
        <v>85</v>
      </c>
      <c r="D57" s="153" t="s">
        <v>265</v>
      </c>
      <c r="E57" s="153" t="s">
        <v>266</v>
      </c>
      <c r="F57" t="s">
        <v>258</v>
      </c>
      <c r="G57" t="s">
        <v>422</v>
      </c>
    </row>
    <row r="58" spans="1:7" x14ac:dyDescent="0.25">
      <c r="A58">
        <v>14024</v>
      </c>
      <c r="B58" s="153" t="s">
        <v>106</v>
      </c>
      <c r="C58" s="153" t="s">
        <v>85</v>
      </c>
      <c r="D58" s="153" t="s">
        <v>216</v>
      </c>
      <c r="E58" s="153" t="s">
        <v>217</v>
      </c>
      <c r="F58" t="s">
        <v>258</v>
      </c>
      <c r="G58" t="s">
        <v>422</v>
      </c>
    </row>
    <row r="59" spans="1:7" x14ac:dyDescent="0.25">
      <c r="A59">
        <v>14045</v>
      </c>
      <c r="B59" s="153" t="s">
        <v>99</v>
      </c>
      <c r="C59" s="153" t="s">
        <v>85</v>
      </c>
      <c r="D59" s="153" t="s">
        <v>427</v>
      </c>
      <c r="E59" s="153" t="s">
        <v>428</v>
      </c>
      <c r="F59" t="s">
        <v>258</v>
      </c>
      <c r="G59" t="s">
        <v>425</v>
      </c>
    </row>
    <row r="60" spans="1:7" x14ac:dyDescent="0.25">
      <c r="A60">
        <v>14045</v>
      </c>
      <c r="B60" s="153" t="s">
        <v>99</v>
      </c>
      <c r="C60" s="153" t="s">
        <v>85</v>
      </c>
      <c r="D60" s="153" t="s">
        <v>269</v>
      </c>
      <c r="E60" s="153" t="s">
        <v>270</v>
      </c>
      <c r="F60" t="s">
        <v>258</v>
      </c>
      <c r="G60" t="s">
        <v>425</v>
      </c>
    </row>
    <row r="61" spans="1:7" x14ac:dyDescent="0.25">
      <c r="A61">
        <v>14045</v>
      </c>
      <c r="B61" s="153" t="s">
        <v>99</v>
      </c>
      <c r="C61" s="153" t="s">
        <v>85</v>
      </c>
      <c r="D61" s="153" t="s">
        <v>429</v>
      </c>
      <c r="E61" s="153" t="s">
        <v>430</v>
      </c>
      <c r="F61" t="s">
        <v>258</v>
      </c>
      <c r="G61" t="s">
        <v>425</v>
      </c>
    </row>
    <row r="62" spans="1:7" x14ac:dyDescent="0.25">
      <c r="A62">
        <v>14045</v>
      </c>
      <c r="B62" s="153" t="s">
        <v>99</v>
      </c>
      <c r="C62" s="153" t="s">
        <v>85</v>
      </c>
      <c r="D62" s="153" t="s">
        <v>431</v>
      </c>
      <c r="E62" s="153" t="s">
        <v>432</v>
      </c>
      <c r="F62" t="s">
        <v>258</v>
      </c>
      <c r="G62" t="s">
        <v>425</v>
      </c>
    </row>
    <row r="63" spans="1:7" x14ac:dyDescent="0.25">
      <c r="A63">
        <v>14046</v>
      </c>
      <c r="B63" s="153" t="s">
        <v>107</v>
      </c>
      <c r="C63" s="153" t="s">
        <v>85</v>
      </c>
      <c r="D63" s="153" t="s">
        <v>271</v>
      </c>
      <c r="E63" s="153" t="s">
        <v>272</v>
      </c>
      <c r="F63" t="s">
        <v>258</v>
      </c>
      <c r="G63" t="s">
        <v>422</v>
      </c>
    </row>
    <row r="64" spans="1:7" x14ac:dyDescent="0.25">
      <c r="A64">
        <v>14046</v>
      </c>
      <c r="B64" s="153" t="s">
        <v>107</v>
      </c>
      <c r="C64" s="153" t="s">
        <v>85</v>
      </c>
      <c r="D64" s="153" t="s">
        <v>273</v>
      </c>
      <c r="E64" s="153" t="s">
        <v>274</v>
      </c>
      <c r="F64" t="s">
        <v>258</v>
      </c>
      <c r="G64" t="s">
        <v>426</v>
      </c>
    </row>
    <row r="65" spans="1:7" x14ac:dyDescent="0.25">
      <c r="A65">
        <v>14046</v>
      </c>
      <c r="B65" s="153" t="s">
        <v>107</v>
      </c>
      <c r="C65" s="153" t="s">
        <v>85</v>
      </c>
      <c r="D65" s="153" t="s">
        <v>275</v>
      </c>
      <c r="E65" s="153" t="s">
        <v>276</v>
      </c>
      <c r="F65" t="s">
        <v>258</v>
      </c>
      <c r="G65" t="s">
        <v>426</v>
      </c>
    </row>
    <row r="66" spans="1:7" x14ac:dyDescent="0.25">
      <c r="A66">
        <v>14046</v>
      </c>
      <c r="B66" s="153" t="s">
        <v>107</v>
      </c>
      <c r="C66" s="153" t="s">
        <v>85</v>
      </c>
      <c r="D66" s="153" t="s">
        <v>218</v>
      </c>
      <c r="E66" s="153" t="s">
        <v>219</v>
      </c>
      <c r="F66" t="s">
        <v>258</v>
      </c>
      <c r="G66" t="s">
        <v>426</v>
      </c>
    </row>
    <row r="67" spans="1:7" x14ac:dyDescent="0.25">
      <c r="A67">
        <v>14046</v>
      </c>
      <c r="B67" s="153" t="s">
        <v>107</v>
      </c>
      <c r="C67" s="153" t="s">
        <v>85</v>
      </c>
      <c r="D67" s="153" t="s">
        <v>277</v>
      </c>
      <c r="E67" s="153" t="s">
        <v>278</v>
      </c>
      <c r="F67" t="s">
        <v>258</v>
      </c>
      <c r="G67" t="s">
        <v>426</v>
      </c>
    </row>
    <row r="68" spans="1:7" x14ac:dyDescent="0.25">
      <c r="A68">
        <v>14046</v>
      </c>
      <c r="B68" s="153" t="s">
        <v>107</v>
      </c>
      <c r="C68" s="153" t="s">
        <v>85</v>
      </c>
      <c r="D68" s="153" t="s">
        <v>279</v>
      </c>
      <c r="E68" s="153" t="s">
        <v>280</v>
      </c>
      <c r="F68" t="s">
        <v>258</v>
      </c>
      <c r="G68" t="s">
        <v>426</v>
      </c>
    </row>
    <row r="69" spans="1:7" x14ac:dyDescent="0.25">
      <c r="A69">
        <v>14231</v>
      </c>
      <c r="B69" s="153" t="s">
        <v>100</v>
      </c>
      <c r="C69" s="153" t="s">
        <v>85</v>
      </c>
      <c r="D69" s="153" t="s">
        <v>281</v>
      </c>
      <c r="E69" s="153" t="s">
        <v>282</v>
      </c>
      <c r="F69" t="s">
        <v>258</v>
      </c>
      <c r="G69" t="s">
        <v>422</v>
      </c>
    </row>
    <row r="70" spans="1:7" x14ac:dyDescent="0.25">
      <c r="A70">
        <v>14070</v>
      </c>
      <c r="B70" s="153" t="s">
        <v>101</v>
      </c>
      <c r="C70" s="153" t="s">
        <v>85</v>
      </c>
      <c r="D70" s="153" t="s">
        <v>283</v>
      </c>
      <c r="E70" s="153" t="s">
        <v>284</v>
      </c>
      <c r="F70" t="s">
        <v>258</v>
      </c>
      <c r="G70" t="s">
        <v>426</v>
      </c>
    </row>
    <row r="71" spans="1:7" x14ac:dyDescent="0.25">
      <c r="A71">
        <v>14070</v>
      </c>
      <c r="B71" s="153" t="s">
        <v>101</v>
      </c>
      <c r="C71" s="153" t="s">
        <v>85</v>
      </c>
      <c r="D71" s="153" t="s">
        <v>285</v>
      </c>
      <c r="E71" s="153" t="s">
        <v>286</v>
      </c>
      <c r="F71" t="s">
        <v>258</v>
      </c>
      <c r="G71" t="s">
        <v>422</v>
      </c>
    </row>
    <row r="72" spans="1:7" x14ac:dyDescent="0.25">
      <c r="A72">
        <v>14106</v>
      </c>
      <c r="B72" s="153" t="s">
        <v>108</v>
      </c>
      <c r="C72" s="153" t="s">
        <v>85</v>
      </c>
      <c r="D72" s="153" t="s">
        <v>287</v>
      </c>
      <c r="E72" s="153" t="s">
        <v>288</v>
      </c>
      <c r="F72" t="s">
        <v>258</v>
      </c>
      <c r="G72" t="s">
        <v>425</v>
      </c>
    </row>
    <row r="73" spans="1:7" x14ac:dyDescent="0.25">
      <c r="A73">
        <v>14110</v>
      </c>
      <c r="B73" s="153" t="s">
        <v>102</v>
      </c>
      <c r="C73" s="153" t="s">
        <v>85</v>
      </c>
      <c r="D73" s="153" t="s">
        <v>289</v>
      </c>
      <c r="E73" s="153" t="s">
        <v>290</v>
      </c>
      <c r="F73" t="s">
        <v>258</v>
      </c>
      <c r="G73" t="s">
        <v>422</v>
      </c>
    </row>
    <row r="74" spans="1:7" x14ac:dyDescent="0.25">
      <c r="A74">
        <v>14110</v>
      </c>
      <c r="B74" s="153" t="s">
        <v>102</v>
      </c>
      <c r="C74" s="153" t="s">
        <v>85</v>
      </c>
      <c r="D74" s="153" t="s">
        <v>291</v>
      </c>
      <c r="E74" s="153" t="s">
        <v>292</v>
      </c>
      <c r="F74" t="s">
        <v>258</v>
      </c>
      <c r="G74" t="s">
        <v>422</v>
      </c>
    </row>
    <row r="75" spans="1:7" x14ac:dyDescent="0.25">
      <c r="A75">
        <v>14110</v>
      </c>
      <c r="B75" s="153" t="s">
        <v>102</v>
      </c>
      <c r="C75" s="153" t="s">
        <v>85</v>
      </c>
      <c r="D75" s="153" t="s">
        <v>293</v>
      </c>
      <c r="E75" s="153" t="s">
        <v>294</v>
      </c>
      <c r="F75" t="s">
        <v>258</v>
      </c>
      <c r="G75" t="s">
        <v>422</v>
      </c>
    </row>
    <row r="76" spans="1:7" x14ac:dyDescent="0.25">
      <c r="A76">
        <v>14117</v>
      </c>
      <c r="B76" s="153" t="s">
        <v>109</v>
      </c>
      <c r="C76" s="153" t="s">
        <v>85</v>
      </c>
      <c r="D76" s="153" t="s">
        <v>505</v>
      </c>
      <c r="E76" s="153" t="s">
        <v>506</v>
      </c>
      <c r="F76" t="s">
        <v>258</v>
      </c>
      <c r="G76" t="s">
        <v>422</v>
      </c>
    </row>
    <row r="77" spans="1:7" x14ac:dyDescent="0.25">
      <c r="A77">
        <v>14117</v>
      </c>
      <c r="B77" s="153" t="s">
        <v>109</v>
      </c>
      <c r="C77" s="153" t="s">
        <v>85</v>
      </c>
      <c r="D77" s="153" t="s">
        <v>297</v>
      </c>
      <c r="E77" s="153" t="s">
        <v>298</v>
      </c>
      <c r="F77" t="s">
        <v>258</v>
      </c>
      <c r="G77" t="s">
        <v>422</v>
      </c>
    </row>
    <row r="78" spans="1:7" x14ac:dyDescent="0.25">
      <c r="A78">
        <v>14198</v>
      </c>
      <c r="B78" s="153" t="s">
        <v>93</v>
      </c>
      <c r="C78" s="153" t="s">
        <v>85</v>
      </c>
      <c r="D78" s="153" t="s">
        <v>299</v>
      </c>
      <c r="E78" s="153" t="s">
        <v>300</v>
      </c>
      <c r="F78" t="s">
        <v>258</v>
      </c>
      <c r="G78" t="s">
        <v>425</v>
      </c>
    </row>
    <row r="79" spans="1:7" x14ac:dyDescent="0.25">
      <c r="A79">
        <v>14203</v>
      </c>
      <c r="B79" s="153" t="s">
        <v>94</v>
      </c>
      <c r="C79" s="153" t="s">
        <v>85</v>
      </c>
      <c r="D79" s="153" t="s">
        <v>301</v>
      </c>
      <c r="E79" s="153" t="s">
        <v>302</v>
      </c>
      <c r="F79" t="s">
        <v>258</v>
      </c>
      <c r="G79" t="s">
        <v>425</v>
      </c>
    </row>
    <row r="80" spans="1:7" x14ac:dyDescent="0.25">
      <c r="A80">
        <v>14225</v>
      </c>
      <c r="B80" s="153" t="s">
        <v>110</v>
      </c>
      <c r="C80" s="153" t="s">
        <v>85</v>
      </c>
      <c r="D80" s="153" t="s">
        <v>517</v>
      </c>
      <c r="E80" s="153" t="s">
        <v>518</v>
      </c>
      <c r="F80" t="s">
        <v>258</v>
      </c>
      <c r="G80" t="s">
        <v>422</v>
      </c>
    </row>
    <row r="81" spans="1:7" x14ac:dyDescent="0.25">
      <c r="A81">
        <v>14225</v>
      </c>
      <c r="B81" s="153" t="s">
        <v>110</v>
      </c>
      <c r="C81" s="153" t="s">
        <v>85</v>
      </c>
      <c r="D81" s="153" t="s">
        <v>305</v>
      </c>
      <c r="E81" s="153" t="s">
        <v>306</v>
      </c>
      <c r="F81" t="s">
        <v>258</v>
      </c>
      <c r="G81" t="s">
        <v>426</v>
      </c>
    </row>
    <row r="82" spans="1:7" x14ac:dyDescent="0.25">
      <c r="A82">
        <v>14225</v>
      </c>
      <c r="B82" s="153" t="s">
        <v>110</v>
      </c>
      <c r="C82" s="153" t="s">
        <v>85</v>
      </c>
      <c r="D82" s="153" t="s">
        <v>309</v>
      </c>
      <c r="E82" s="153" t="s">
        <v>310</v>
      </c>
      <c r="F82" t="s">
        <v>258</v>
      </c>
      <c r="G82" t="s">
        <v>426</v>
      </c>
    </row>
    <row r="83" spans="1:7" x14ac:dyDescent="0.25">
      <c r="A83">
        <v>14227</v>
      </c>
      <c r="B83" s="153" t="s">
        <v>95</v>
      </c>
      <c r="C83" s="153" t="s">
        <v>85</v>
      </c>
      <c r="D83" s="153" t="s">
        <v>311</v>
      </c>
      <c r="E83" s="153" t="s">
        <v>312</v>
      </c>
      <c r="F83" t="s">
        <v>258</v>
      </c>
      <c r="G83" t="s">
        <v>425</v>
      </c>
    </row>
    <row r="84" spans="1:7" x14ac:dyDescent="0.25">
      <c r="A84">
        <v>14227</v>
      </c>
      <c r="B84" s="153" t="s">
        <v>95</v>
      </c>
      <c r="C84" s="153" t="s">
        <v>85</v>
      </c>
      <c r="D84" s="153" t="s">
        <v>313</v>
      </c>
      <c r="E84" s="153" t="s">
        <v>314</v>
      </c>
      <c r="F84" t="s">
        <v>258</v>
      </c>
      <c r="G84" t="s">
        <v>425</v>
      </c>
    </row>
    <row r="85" spans="1:7" x14ac:dyDescent="0.25">
      <c r="A85">
        <v>14227</v>
      </c>
      <c r="B85" s="153" t="s">
        <v>95</v>
      </c>
      <c r="C85" s="153" t="s">
        <v>85</v>
      </c>
      <c r="D85" s="153" t="s">
        <v>315</v>
      </c>
      <c r="E85" s="153" t="s">
        <v>316</v>
      </c>
      <c r="F85" t="s">
        <v>258</v>
      </c>
      <c r="G85" t="s">
        <v>425</v>
      </c>
    </row>
    <row r="86" spans="1:7" x14ac:dyDescent="0.25">
      <c r="A86">
        <v>14229</v>
      </c>
      <c r="B86" s="153" t="s">
        <v>86</v>
      </c>
      <c r="C86" s="153" t="s">
        <v>85</v>
      </c>
      <c r="D86" s="153" t="s">
        <v>232</v>
      </c>
      <c r="E86" s="153" t="s">
        <v>233</v>
      </c>
      <c r="F86" t="s">
        <v>258</v>
      </c>
      <c r="G86" t="s">
        <v>426</v>
      </c>
    </row>
    <row r="87" spans="1:7" x14ac:dyDescent="0.25">
      <c r="A87">
        <v>14229</v>
      </c>
      <c r="B87" s="153" t="s">
        <v>86</v>
      </c>
      <c r="C87" s="153" t="s">
        <v>85</v>
      </c>
      <c r="D87" s="153" t="s">
        <v>234</v>
      </c>
      <c r="E87" s="153" t="s">
        <v>235</v>
      </c>
      <c r="F87" t="s">
        <v>258</v>
      </c>
      <c r="G87" t="s">
        <v>426</v>
      </c>
    </row>
    <row r="88" spans="1:7" x14ac:dyDescent="0.25">
      <c r="A88">
        <v>14229</v>
      </c>
      <c r="B88" s="153" t="s">
        <v>86</v>
      </c>
      <c r="C88" s="153" t="s">
        <v>85</v>
      </c>
      <c r="D88" s="153" t="s">
        <v>319</v>
      </c>
      <c r="E88" s="153" t="s">
        <v>320</v>
      </c>
      <c r="F88" t="s">
        <v>258</v>
      </c>
      <c r="G88" t="s">
        <v>422</v>
      </c>
    </row>
    <row r="89" spans="1:7" x14ac:dyDescent="0.25">
      <c r="A89">
        <v>14229</v>
      </c>
      <c r="B89" s="153" t="s">
        <v>86</v>
      </c>
      <c r="C89" s="153" t="s">
        <v>85</v>
      </c>
      <c r="D89" s="153" t="s">
        <v>319</v>
      </c>
      <c r="E89" s="153" t="s">
        <v>320</v>
      </c>
      <c r="F89" t="s">
        <v>258</v>
      </c>
      <c r="G89" t="s">
        <v>422</v>
      </c>
    </row>
    <row r="90" spans="1:7" x14ac:dyDescent="0.25">
      <c r="A90">
        <v>14229</v>
      </c>
      <c r="B90" s="153" t="s">
        <v>86</v>
      </c>
      <c r="C90" s="153" t="s">
        <v>85</v>
      </c>
      <c r="D90" s="153" t="s">
        <v>321</v>
      </c>
      <c r="E90" s="153" t="s">
        <v>322</v>
      </c>
      <c r="F90" t="s">
        <v>258</v>
      </c>
      <c r="G90" t="s">
        <v>422</v>
      </c>
    </row>
    <row r="91" spans="1:7" x14ac:dyDescent="0.25">
      <c r="A91">
        <v>14229</v>
      </c>
      <c r="B91" s="153" t="s">
        <v>86</v>
      </c>
      <c r="C91" s="153" t="s">
        <v>85</v>
      </c>
      <c r="D91" s="153" t="s">
        <v>222</v>
      </c>
      <c r="E91" s="153" t="s">
        <v>223</v>
      </c>
      <c r="F91" t="s">
        <v>258</v>
      </c>
      <c r="G91" t="s">
        <v>422</v>
      </c>
    </row>
    <row r="92" spans="1:7" x14ac:dyDescent="0.25">
      <c r="A92">
        <v>14229</v>
      </c>
      <c r="B92" s="153" t="s">
        <v>86</v>
      </c>
      <c r="C92" s="153" t="s">
        <v>85</v>
      </c>
      <c r="D92" s="153" t="s">
        <v>325</v>
      </c>
      <c r="E92" s="153" t="s">
        <v>326</v>
      </c>
      <c r="F92" t="s">
        <v>258</v>
      </c>
      <c r="G92" t="s">
        <v>426</v>
      </c>
    </row>
    <row r="93" spans="1:7" x14ac:dyDescent="0.25">
      <c r="A93">
        <v>14229</v>
      </c>
      <c r="B93" s="153" t="s">
        <v>86</v>
      </c>
      <c r="C93" s="153" t="s">
        <v>85</v>
      </c>
      <c r="D93" s="153" t="s">
        <v>433</v>
      </c>
      <c r="E93" s="153" t="s">
        <v>434</v>
      </c>
      <c r="F93" t="s">
        <v>258</v>
      </c>
      <c r="G93" t="s">
        <v>426</v>
      </c>
    </row>
    <row r="94" spans="1:7" x14ac:dyDescent="0.25">
      <c r="A94">
        <v>14229</v>
      </c>
      <c r="B94" s="153" t="s">
        <v>86</v>
      </c>
      <c r="C94" s="153" t="s">
        <v>85</v>
      </c>
      <c r="D94" s="153" t="s">
        <v>329</v>
      </c>
      <c r="E94" s="153" t="s">
        <v>330</v>
      </c>
      <c r="F94" t="s">
        <v>258</v>
      </c>
      <c r="G94" t="s">
        <v>426</v>
      </c>
    </row>
    <row r="95" spans="1:7" x14ac:dyDescent="0.25">
      <c r="A95">
        <v>14306</v>
      </c>
      <c r="B95" s="153" t="s">
        <v>96</v>
      </c>
      <c r="C95" s="153" t="s">
        <v>85</v>
      </c>
      <c r="D95" s="153" t="s">
        <v>331</v>
      </c>
      <c r="E95" s="153" t="s">
        <v>332</v>
      </c>
      <c r="F95" t="s">
        <v>258</v>
      </c>
      <c r="G95" t="s">
        <v>425</v>
      </c>
    </row>
    <row r="96" spans="1:7" x14ac:dyDescent="0.25">
      <c r="A96">
        <v>14306</v>
      </c>
      <c r="B96" s="153" t="s">
        <v>96</v>
      </c>
      <c r="C96" s="153" t="s">
        <v>85</v>
      </c>
      <c r="D96" s="153" t="s">
        <v>220</v>
      </c>
      <c r="E96" s="153" t="s">
        <v>221</v>
      </c>
      <c r="F96" t="s">
        <v>258</v>
      </c>
      <c r="G96" t="s">
        <v>422</v>
      </c>
    </row>
    <row r="97" spans="1:7" x14ac:dyDescent="0.25">
      <c r="A97">
        <v>14306</v>
      </c>
      <c r="B97" s="153" t="s">
        <v>96</v>
      </c>
      <c r="C97" s="153" t="s">
        <v>85</v>
      </c>
      <c r="D97" s="153" t="s">
        <v>206</v>
      </c>
      <c r="E97" s="153" t="s">
        <v>207</v>
      </c>
      <c r="F97" t="s">
        <v>258</v>
      </c>
      <c r="G97" t="s">
        <v>425</v>
      </c>
    </row>
    <row r="98" spans="1:7" x14ac:dyDescent="0.25">
      <c r="A98">
        <v>14305</v>
      </c>
      <c r="B98" s="153" t="s">
        <v>88</v>
      </c>
      <c r="C98" s="153" t="s">
        <v>85</v>
      </c>
      <c r="D98" s="153" t="s">
        <v>487</v>
      </c>
      <c r="E98" s="153" t="s">
        <v>488</v>
      </c>
      <c r="F98" t="s">
        <v>258</v>
      </c>
      <c r="G98" t="s">
        <v>425</v>
      </c>
    </row>
    <row r="99" spans="1:7" x14ac:dyDescent="0.25">
      <c r="A99">
        <v>14305</v>
      </c>
      <c r="B99" s="153" t="s">
        <v>88</v>
      </c>
      <c r="C99" s="153" t="s">
        <v>85</v>
      </c>
      <c r="D99" s="153" t="s">
        <v>489</v>
      </c>
      <c r="E99" s="153" t="s">
        <v>490</v>
      </c>
      <c r="F99" t="s">
        <v>258</v>
      </c>
      <c r="G99" t="s">
        <v>425</v>
      </c>
    </row>
    <row r="100" spans="1:7" x14ac:dyDescent="0.25">
      <c r="A100">
        <v>14305</v>
      </c>
      <c r="B100" s="153" t="s">
        <v>88</v>
      </c>
      <c r="C100" s="153" t="s">
        <v>85</v>
      </c>
      <c r="D100" s="153" t="s">
        <v>333</v>
      </c>
      <c r="E100" s="153" t="s">
        <v>334</v>
      </c>
      <c r="F100" t="s">
        <v>258</v>
      </c>
      <c r="G100" t="s">
        <v>426</v>
      </c>
    </row>
    <row r="101" spans="1:7" x14ac:dyDescent="0.25">
      <c r="A101">
        <v>14305</v>
      </c>
      <c r="B101" s="153" t="s">
        <v>88</v>
      </c>
      <c r="C101" s="153" t="s">
        <v>85</v>
      </c>
      <c r="D101" s="153" t="s">
        <v>335</v>
      </c>
      <c r="E101" s="153" t="s">
        <v>336</v>
      </c>
      <c r="F101" t="s">
        <v>258</v>
      </c>
      <c r="G101" t="s">
        <v>425</v>
      </c>
    </row>
    <row r="102" spans="1:7" x14ac:dyDescent="0.25">
      <c r="A102">
        <v>14305</v>
      </c>
      <c r="B102" s="153" t="s">
        <v>88</v>
      </c>
      <c r="C102" s="153" t="s">
        <v>85</v>
      </c>
      <c r="D102" s="153" t="s">
        <v>337</v>
      </c>
      <c r="E102" s="153" t="s">
        <v>338</v>
      </c>
      <c r="F102" t="s">
        <v>258</v>
      </c>
      <c r="G102" t="s">
        <v>425</v>
      </c>
    </row>
    <row r="103" spans="1:7" x14ac:dyDescent="0.25">
      <c r="A103">
        <v>14305</v>
      </c>
      <c r="B103" s="153" t="s">
        <v>88</v>
      </c>
      <c r="C103" s="153" t="s">
        <v>85</v>
      </c>
      <c r="D103" s="153" t="s">
        <v>339</v>
      </c>
      <c r="E103" s="153" t="s">
        <v>340</v>
      </c>
      <c r="F103" t="s">
        <v>258</v>
      </c>
      <c r="G103" t="s">
        <v>425</v>
      </c>
    </row>
    <row r="104" spans="1:7" x14ac:dyDescent="0.25">
      <c r="A104">
        <v>14305</v>
      </c>
      <c r="B104" s="153" t="s">
        <v>88</v>
      </c>
      <c r="C104" s="153" t="s">
        <v>85</v>
      </c>
      <c r="D104" s="153" t="s">
        <v>341</v>
      </c>
      <c r="E104" s="153" t="s">
        <v>342</v>
      </c>
      <c r="F104" t="s">
        <v>258</v>
      </c>
      <c r="G104" t="s">
        <v>425</v>
      </c>
    </row>
    <row r="105" spans="1:7" x14ac:dyDescent="0.25">
      <c r="A105">
        <v>14305</v>
      </c>
      <c r="B105" s="153" t="s">
        <v>88</v>
      </c>
      <c r="C105" s="153" t="s">
        <v>85</v>
      </c>
      <c r="D105" s="153" t="s">
        <v>208</v>
      </c>
      <c r="E105" s="153" t="s">
        <v>209</v>
      </c>
      <c r="F105" t="s">
        <v>258</v>
      </c>
      <c r="G105" t="s">
        <v>425</v>
      </c>
    </row>
    <row r="106" spans="1:7" x14ac:dyDescent="0.25">
      <c r="A106">
        <v>14305</v>
      </c>
      <c r="B106" s="153" t="s">
        <v>88</v>
      </c>
      <c r="C106" s="153" t="s">
        <v>85</v>
      </c>
      <c r="D106" s="153" t="s">
        <v>210</v>
      </c>
      <c r="E106" s="153" t="s">
        <v>211</v>
      </c>
      <c r="F106" t="s">
        <v>258</v>
      </c>
      <c r="G106" t="s">
        <v>425</v>
      </c>
    </row>
    <row r="107" spans="1:7" x14ac:dyDescent="0.25">
      <c r="A107">
        <v>14305</v>
      </c>
      <c r="B107" s="153" t="s">
        <v>88</v>
      </c>
      <c r="C107" s="153" t="s">
        <v>85</v>
      </c>
      <c r="D107" s="153" t="s">
        <v>491</v>
      </c>
      <c r="E107" s="153" t="s">
        <v>492</v>
      </c>
      <c r="F107" t="s">
        <v>258</v>
      </c>
      <c r="G107" t="s">
        <v>425</v>
      </c>
    </row>
    <row r="108" spans="1:7" x14ac:dyDescent="0.25">
      <c r="A108">
        <v>14308</v>
      </c>
      <c r="B108" s="153" t="s">
        <v>97</v>
      </c>
      <c r="C108" s="153" t="s">
        <v>85</v>
      </c>
      <c r="D108" s="153" t="s">
        <v>238</v>
      </c>
      <c r="E108" s="153" t="s">
        <v>239</v>
      </c>
      <c r="F108" t="s">
        <v>258</v>
      </c>
      <c r="G108" t="s">
        <v>426</v>
      </c>
    </row>
    <row r="109" spans="1:7" x14ac:dyDescent="0.25">
      <c r="A109">
        <v>14316</v>
      </c>
      <c r="B109" s="153" t="s">
        <v>98</v>
      </c>
      <c r="C109" s="153" t="s">
        <v>85</v>
      </c>
      <c r="D109" s="153" t="s">
        <v>343</v>
      </c>
      <c r="E109" s="153" t="s">
        <v>344</v>
      </c>
      <c r="F109" t="s">
        <v>258</v>
      </c>
      <c r="G109" t="s">
        <v>425</v>
      </c>
    </row>
    <row r="110" spans="1:7" x14ac:dyDescent="0.25">
      <c r="A110">
        <v>14316</v>
      </c>
      <c r="B110" s="153" t="s">
        <v>98</v>
      </c>
      <c r="C110" s="153" t="s">
        <v>85</v>
      </c>
      <c r="D110" s="153" t="s">
        <v>345</v>
      </c>
      <c r="E110" s="153" t="s">
        <v>346</v>
      </c>
      <c r="F110" t="s">
        <v>258</v>
      </c>
      <c r="G110" t="s">
        <v>426</v>
      </c>
    </row>
    <row r="111" spans="1:7" x14ac:dyDescent="0.25">
      <c r="A111">
        <v>14316</v>
      </c>
      <c r="B111" s="153" t="s">
        <v>98</v>
      </c>
      <c r="C111" s="153" t="s">
        <v>85</v>
      </c>
      <c r="D111" s="153" t="s">
        <v>347</v>
      </c>
      <c r="E111" s="153" t="s">
        <v>348</v>
      </c>
      <c r="F111" t="s">
        <v>258</v>
      </c>
      <c r="G111" t="s">
        <v>426</v>
      </c>
    </row>
    <row r="112" spans="1:7" x14ac:dyDescent="0.25">
      <c r="A112">
        <v>14316</v>
      </c>
      <c r="B112" s="153" t="s">
        <v>98</v>
      </c>
      <c r="C112" s="153" t="s">
        <v>85</v>
      </c>
      <c r="D112" s="153" t="s">
        <v>349</v>
      </c>
      <c r="E112" s="153" t="s">
        <v>350</v>
      </c>
      <c r="F112" t="s">
        <v>258</v>
      </c>
      <c r="G112" t="s">
        <v>426</v>
      </c>
    </row>
    <row r="113" spans="1:7" x14ac:dyDescent="0.25">
      <c r="A113">
        <v>14316</v>
      </c>
      <c r="B113" s="153" t="s">
        <v>98</v>
      </c>
      <c r="C113" s="153" t="s">
        <v>85</v>
      </c>
      <c r="D113" s="153" t="s">
        <v>351</v>
      </c>
      <c r="E113" s="153" t="s">
        <v>352</v>
      </c>
      <c r="F113" t="s">
        <v>258</v>
      </c>
      <c r="G113" t="s">
        <v>426</v>
      </c>
    </row>
    <row r="114" spans="1:7" x14ac:dyDescent="0.25">
      <c r="A114">
        <v>14316</v>
      </c>
      <c r="B114" s="153" t="s">
        <v>98</v>
      </c>
      <c r="C114" s="153" t="s">
        <v>85</v>
      </c>
      <c r="D114" s="153" t="s">
        <v>519</v>
      </c>
      <c r="E114" s="153" t="s">
        <v>520</v>
      </c>
      <c r="F114" t="s">
        <v>258</v>
      </c>
      <c r="G114" t="s">
        <v>425</v>
      </c>
    </row>
    <row r="115" spans="1:7" x14ac:dyDescent="0.25">
      <c r="A115">
        <v>14316</v>
      </c>
      <c r="B115" s="153" t="s">
        <v>98</v>
      </c>
      <c r="C115" s="153" t="s">
        <v>85</v>
      </c>
      <c r="D115" s="153" t="s">
        <v>521</v>
      </c>
      <c r="E115" s="153" t="s">
        <v>522</v>
      </c>
      <c r="F115" t="s">
        <v>258</v>
      </c>
      <c r="G115" t="s">
        <v>426</v>
      </c>
    </row>
    <row r="116" spans="1:7" x14ac:dyDescent="0.25">
      <c r="A116">
        <v>14316</v>
      </c>
      <c r="B116" s="153" t="s">
        <v>98</v>
      </c>
      <c r="C116" s="153" t="s">
        <v>85</v>
      </c>
      <c r="D116" s="153" t="s">
        <v>523</v>
      </c>
      <c r="E116" s="153" t="s">
        <v>524</v>
      </c>
      <c r="F116" t="s">
        <v>258</v>
      </c>
      <c r="G116" t="s">
        <v>426</v>
      </c>
    </row>
    <row r="117" spans="1:7" x14ac:dyDescent="0.25">
      <c r="A117">
        <v>14329</v>
      </c>
      <c r="B117" s="153" t="s">
        <v>111</v>
      </c>
      <c r="C117" s="153" t="s">
        <v>85</v>
      </c>
      <c r="D117" s="153" t="s">
        <v>353</v>
      </c>
      <c r="E117" s="153" t="s">
        <v>354</v>
      </c>
      <c r="F117" t="s">
        <v>258</v>
      </c>
      <c r="G117" t="s">
        <v>425</v>
      </c>
    </row>
    <row r="118" spans="1:7" x14ac:dyDescent="0.25">
      <c r="A118">
        <v>14338</v>
      </c>
      <c r="B118" s="153" t="s">
        <v>112</v>
      </c>
      <c r="C118" s="153" t="s">
        <v>85</v>
      </c>
      <c r="D118" s="153" t="s">
        <v>357</v>
      </c>
      <c r="E118" s="153" t="s">
        <v>358</v>
      </c>
      <c r="F118" t="s">
        <v>258</v>
      </c>
      <c r="G118" t="s">
        <v>426</v>
      </c>
    </row>
    <row r="119" spans="1:7" x14ac:dyDescent="0.25">
      <c r="A119">
        <v>14338</v>
      </c>
      <c r="B119" s="153" t="s">
        <v>112</v>
      </c>
      <c r="C119" s="153" t="s">
        <v>85</v>
      </c>
      <c r="D119" s="153" t="s">
        <v>359</v>
      </c>
      <c r="E119" s="153" t="s">
        <v>360</v>
      </c>
      <c r="F119" t="s">
        <v>258</v>
      </c>
      <c r="G119" t="s">
        <v>425</v>
      </c>
    </row>
    <row r="120" spans="1:7" x14ac:dyDescent="0.25">
      <c r="A120">
        <v>14338</v>
      </c>
      <c r="B120" s="153" t="s">
        <v>112</v>
      </c>
      <c r="C120" s="153" t="s">
        <v>85</v>
      </c>
      <c r="D120" s="153" t="s">
        <v>361</v>
      </c>
      <c r="E120" s="153" t="s">
        <v>362</v>
      </c>
      <c r="F120" t="s">
        <v>258</v>
      </c>
      <c r="G120" t="s">
        <v>425</v>
      </c>
    </row>
    <row r="121" spans="1:7" x14ac:dyDescent="0.25">
      <c r="A121">
        <v>14338</v>
      </c>
      <c r="B121" s="153" t="s">
        <v>112</v>
      </c>
      <c r="C121" s="153" t="s">
        <v>85</v>
      </c>
      <c r="D121" s="153" t="s">
        <v>212</v>
      </c>
      <c r="E121" s="153" t="s">
        <v>213</v>
      </c>
      <c r="F121" t="s">
        <v>258</v>
      </c>
      <c r="G121" t="s">
        <v>425</v>
      </c>
    </row>
    <row r="122" spans="1:7" x14ac:dyDescent="0.25">
      <c r="A122">
        <v>14338</v>
      </c>
      <c r="B122" s="153" t="s">
        <v>112</v>
      </c>
      <c r="C122" s="153" t="s">
        <v>85</v>
      </c>
      <c r="D122" s="153" t="s">
        <v>435</v>
      </c>
      <c r="E122" s="153" t="s">
        <v>436</v>
      </c>
      <c r="F122" t="s">
        <v>258</v>
      </c>
      <c r="G122" t="s">
        <v>425</v>
      </c>
    </row>
    <row r="123" spans="1:7" x14ac:dyDescent="0.25">
      <c r="A123">
        <v>14338</v>
      </c>
      <c r="B123" s="153" t="s">
        <v>112</v>
      </c>
      <c r="C123" s="153" t="s">
        <v>85</v>
      </c>
      <c r="D123" s="153" t="s">
        <v>481</v>
      </c>
      <c r="E123" s="153" t="s">
        <v>482</v>
      </c>
      <c r="F123" t="s">
        <v>258</v>
      </c>
      <c r="G123" t="s">
        <v>426</v>
      </c>
    </row>
    <row r="124" spans="1:7" x14ac:dyDescent="0.25">
      <c r="A124">
        <v>14409</v>
      </c>
      <c r="B124" s="153" t="s">
        <v>113</v>
      </c>
      <c r="C124" s="153" t="s">
        <v>85</v>
      </c>
      <c r="D124" s="153" t="s">
        <v>507</v>
      </c>
      <c r="E124" s="153" t="s">
        <v>508</v>
      </c>
      <c r="F124" t="s">
        <v>258</v>
      </c>
      <c r="G124" t="s">
        <v>422</v>
      </c>
    </row>
    <row r="125" spans="1:7" x14ac:dyDescent="0.25">
      <c r="A125">
        <v>14409</v>
      </c>
      <c r="B125" s="153" t="s">
        <v>113</v>
      </c>
      <c r="C125" s="153" t="s">
        <v>85</v>
      </c>
      <c r="D125" s="153" t="s">
        <v>365</v>
      </c>
      <c r="E125" s="153" t="s">
        <v>366</v>
      </c>
      <c r="F125" t="s">
        <v>258</v>
      </c>
      <c r="G125" t="s">
        <v>422</v>
      </c>
    </row>
    <row r="126" spans="1:7" x14ac:dyDescent="0.25">
      <c r="A126">
        <v>14550</v>
      </c>
      <c r="B126" s="153" t="s">
        <v>89</v>
      </c>
      <c r="C126" s="153" t="s">
        <v>85</v>
      </c>
      <c r="D126" s="153" t="s">
        <v>369</v>
      </c>
      <c r="E126" s="153" t="s">
        <v>370</v>
      </c>
      <c r="F126" t="s">
        <v>258</v>
      </c>
      <c r="G126" t="s">
        <v>422</v>
      </c>
    </row>
    <row r="127" spans="1:7" x14ac:dyDescent="0.25">
      <c r="A127">
        <v>14550</v>
      </c>
      <c r="B127" s="153" t="s">
        <v>89</v>
      </c>
      <c r="C127" s="153" t="s">
        <v>85</v>
      </c>
      <c r="D127" s="153" t="s">
        <v>371</v>
      </c>
      <c r="E127" s="153" t="s">
        <v>372</v>
      </c>
      <c r="F127" t="s">
        <v>258</v>
      </c>
      <c r="G127" t="s">
        <v>422</v>
      </c>
    </row>
    <row r="128" spans="1:7" x14ac:dyDescent="0.25">
      <c r="A128">
        <v>14598</v>
      </c>
      <c r="B128" s="153" t="s">
        <v>104</v>
      </c>
      <c r="C128" s="153" t="s">
        <v>85</v>
      </c>
      <c r="D128" s="153" t="s">
        <v>373</v>
      </c>
      <c r="E128" s="153" t="s">
        <v>374</v>
      </c>
      <c r="F128" t="s">
        <v>258</v>
      </c>
      <c r="G128" t="s">
        <v>422</v>
      </c>
    </row>
    <row r="129" spans="1:7" x14ac:dyDescent="0.25">
      <c r="A129">
        <v>14598</v>
      </c>
      <c r="B129" s="153" t="s">
        <v>104</v>
      </c>
      <c r="C129" s="153" t="s">
        <v>85</v>
      </c>
      <c r="D129" s="153" t="s">
        <v>375</v>
      </c>
      <c r="E129" s="153" t="s">
        <v>376</v>
      </c>
      <c r="F129" t="s">
        <v>258</v>
      </c>
      <c r="G129" t="s">
        <v>437</v>
      </c>
    </row>
    <row r="130" spans="1:7" x14ac:dyDescent="0.25">
      <c r="A130">
        <v>14598</v>
      </c>
      <c r="B130" s="153" t="s">
        <v>104</v>
      </c>
      <c r="C130" s="153" t="s">
        <v>85</v>
      </c>
      <c r="D130" s="153" t="s">
        <v>483</v>
      </c>
      <c r="E130" s="153" t="s">
        <v>484</v>
      </c>
      <c r="F130" t="s">
        <v>258</v>
      </c>
      <c r="G130" t="s">
        <v>426</v>
      </c>
    </row>
    <row r="131" spans="1:7" x14ac:dyDescent="0.25">
      <c r="A131">
        <v>14606</v>
      </c>
      <c r="B131" s="153" t="s">
        <v>115</v>
      </c>
      <c r="C131" s="153" t="s">
        <v>85</v>
      </c>
      <c r="D131" s="153" t="s">
        <v>528</v>
      </c>
      <c r="E131" s="153" t="s">
        <v>529</v>
      </c>
      <c r="F131" t="s">
        <v>258</v>
      </c>
      <c r="G131" t="s">
        <v>425</v>
      </c>
    </row>
    <row r="132" spans="1:7" x14ac:dyDescent="0.25">
      <c r="A132">
        <v>14665</v>
      </c>
      <c r="B132" s="153" t="s">
        <v>90</v>
      </c>
      <c r="C132" s="153" t="s">
        <v>85</v>
      </c>
      <c r="D132" s="153" t="s">
        <v>230</v>
      </c>
      <c r="E132" s="153" t="s">
        <v>231</v>
      </c>
      <c r="F132" t="s">
        <v>258</v>
      </c>
      <c r="G132" t="s">
        <v>422</v>
      </c>
    </row>
    <row r="133" spans="1:7" x14ac:dyDescent="0.25">
      <c r="A133">
        <v>14665</v>
      </c>
      <c r="B133" s="153" t="s">
        <v>90</v>
      </c>
      <c r="C133" s="153" t="s">
        <v>85</v>
      </c>
      <c r="D133" s="153" t="s">
        <v>379</v>
      </c>
      <c r="E133" s="153" t="s">
        <v>380</v>
      </c>
      <c r="F133" t="s">
        <v>258</v>
      </c>
      <c r="G133" t="s">
        <v>426</v>
      </c>
    </row>
    <row r="134" spans="1:7" x14ac:dyDescent="0.25">
      <c r="A134">
        <v>14724</v>
      </c>
      <c r="B134" s="153" t="s">
        <v>117</v>
      </c>
      <c r="C134" s="153" t="s">
        <v>85</v>
      </c>
      <c r="D134" s="153" t="s">
        <v>383</v>
      </c>
      <c r="E134" s="153" t="s">
        <v>384</v>
      </c>
      <c r="F134" t="s">
        <v>258</v>
      </c>
      <c r="G134" t="s">
        <v>425</v>
      </c>
    </row>
    <row r="135" spans="1:7" x14ac:dyDescent="0.25">
      <c r="A135">
        <v>14724</v>
      </c>
      <c r="B135" s="153" t="s">
        <v>117</v>
      </c>
      <c r="C135" s="153" t="s">
        <v>85</v>
      </c>
      <c r="D135" s="153" t="s">
        <v>236</v>
      </c>
      <c r="E135" s="153" t="s">
        <v>237</v>
      </c>
      <c r="F135" t="s">
        <v>258</v>
      </c>
      <c r="G135" t="s">
        <v>426</v>
      </c>
    </row>
    <row r="136" spans="1:7" x14ac:dyDescent="0.25">
      <c r="A136">
        <v>14724</v>
      </c>
      <c r="B136" s="153" t="s">
        <v>117</v>
      </c>
      <c r="C136" s="153" t="s">
        <v>85</v>
      </c>
      <c r="D136" s="153" t="s">
        <v>387</v>
      </c>
      <c r="E136" s="153" t="s">
        <v>388</v>
      </c>
      <c r="F136" t="s">
        <v>258</v>
      </c>
      <c r="G136" t="s">
        <v>426</v>
      </c>
    </row>
    <row r="137" spans="1:7" x14ac:dyDescent="0.25">
      <c r="A137">
        <v>14724</v>
      </c>
      <c r="B137" s="153" t="s">
        <v>117</v>
      </c>
      <c r="C137" s="153" t="s">
        <v>85</v>
      </c>
      <c r="D137" s="153" t="s">
        <v>240</v>
      </c>
      <c r="E137" s="153" t="s">
        <v>241</v>
      </c>
      <c r="F137" t="s">
        <v>258</v>
      </c>
      <c r="G137" t="s">
        <v>426</v>
      </c>
    </row>
    <row r="138" spans="1:7" x14ac:dyDescent="0.25">
      <c r="A138">
        <v>14743</v>
      </c>
      <c r="B138" s="153" t="s">
        <v>136</v>
      </c>
      <c r="C138" s="153" t="s">
        <v>85</v>
      </c>
      <c r="D138" s="153" t="s">
        <v>318</v>
      </c>
      <c r="E138" s="153" t="s">
        <v>318</v>
      </c>
      <c r="F138" t="s">
        <v>258</v>
      </c>
      <c r="G138" t="s">
        <v>422</v>
      </c>
    </row>
    <row r="139" spans="1:7" x14ac:dyDescent="0.25">
      <c r="A139">
        <v>14743</v>
      </c>
      <c r="B139" s="153" t="s">
        <v>136</v>
      </c>
      <c r="C139" s="153" t="s">
        <v>85</v>
      </c>
      <c r="D139" s="153" t="s">
        <v>389</v>
      </c>
      <c r="E139" s="153" t="s">
        <v>390</v>
      </c>
      <c r="F139" t="s">
        <v>258</v>
      </c>
      <c r="G139" t="s">
        <v>422</v>
      </c>
    </row>
    <row r="140" spans="1:7" x14ac:dyDescent="0.25">
      <c r="A140">
        <v>14743</v>
      </c>
      <c r="B140" s="153" t="s">
        <v>136</v>
      </c>
      <c r="C140" s="153" t="s">
        <v>85</v>
      </c>
      <c r="D140" s="153" t="s">
        <v>224</v>
      </c>
      <c r="E140" s="153" t="s">
        <v>225</v>
      </c>
      <c r="F140" t="s">
        <v>258</v>
      </c>
      <c r="G140" t="s">
        <v>422</v>
      </c>
    </row>
    <row r="141" spans="1:7" x14ac:dyDescent="0.25">
      <c r="A141">
        <v>14743</v>
      </c>
      <c r="B141" s="153" t="s">
        <v>136</v>
      </c>
      <c r="C141" s="153" t="s">
        <v>85</v>
      </c>
      <c r="D141" s="153" t="s">
        <v>226</v>
      </c>
      <c r="E141" s="153" t="s">
        <v>227</v>
      </c>
      <c r="F141" t="s">
        <v>258</v>
      </c>
      <c r="G141" t="s">
        <v>422</v>
      </c>
    </row>
    <row r="142" spans="1:7" x14ac:dyDescent="0.25">
      <c r="A142">
        <v>14743</v>
      </c>
      <c r="B142" s="153" t="s">
        <v>136</v>
      </c>
      <c r="C142" s="153" t="s">
        <v>85</v>
      </c>
      <c r="D142" s="153" t="s">
        <v>228</v>
      </c>
      <c r="E142" s="153" t="s">
        <v>229</v>
      </c>
      <c r="F142" t="s">
        <v>258</v>
      </c>
      <c r="G142" t="s">
        <v>422</v>
      </c>
    </row>
    <row r="143" spans="1:7" x14ac:dyDescent="0.25">
      <c r="A143">
        <v>14743</v>
      </c>
      <c r="B143" s="153" t="s">
        <v>136</v>
      </c>
      <c r="C143" s="153" t="s">
        <v>85</v>
      </c>
      <c r="D143" s="153" t="s">
        <v>525</v>
      </c>
      <c r="E143" s="153" t="s">
        <v>526</v>
      </c>
      <c r="F143" t="s">
        <v>258</v>
      </c>
      <c r="G143" t="s">
        <v>438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D400-A652-4AD7-A65F-0E9FF29CE4BB}">
  <dimension ref="A22:M260"/>
  <sheetViews>
    <sheetView topLeftCell="A13" workbookViewId="0">
      <selection activeCell="B109" sqref="B109"/>
    </sheetView>
  </sheetViews>
  <sheetFormatPr baseColWidth="10" defaultRowHeight="15" x14ac:dyDescent="0.25"/>
  <cols>
    <col min="2" max="2" width="21.140625" customWidth="1"/>
    <col min="3" max="3" width="24.140625" customWidth="1"/>
    <col min="4" max="4" width="17.7109375" customWidth="1"/>
    <col min="5" max="5" width="30.5703125" customWidth="1"/>
    <col min="6" max="6" width="22" customWidth="1"/>
    <col min="10" max="10" width="41.85546875" bestFit="1" customWidth="1"/>
    <col min="11" max="11" width="4" bestFit="1" customWidth="1"/>
    <col min="12" max="12" width="43.42578125" customWidth="1"/>
  </cols>
  <sheetData>
    <row r="22" spans="1:13" x14ac:dyDescent="0.25">
      <c r="D22" s="117" t="s">
        <v>485</v>
      </c>
      <c r="E22" s="117"/>
      <c r="F22" s="117"/>
      <c r="G22" s="117" t="s">
        <v>486</v>
      </c>
      <c r="H22" s="117"/>
      <c r="I22" s="117"/>
    </row>
    <row r="23" spans="1:13" ht="25.5" x14ac:dyDescent="0.25">
      <c r="A23" s="62" t="s">
        <v>119</v>
      </c>
      <c r="B23" s="62" t="s">
        <v>120</v>
      </c>
      <c r="C23" s="63" t="s">
        <v>439</v>
      </c>
      <c r="D23" s="66" t="s">
        <v>440</v>
      </c>
      <c r="E23" s="66" t="s">
        <v>441</v>
      </c>
      <c r="F23" s="66" t="s">
        <v>442</v>
      </c>
      <c r="G23" s="66" t="s">
        <v>443</v>
      </c>
      <c r="H23" s="70" t="s">
        <v>452</v>
      </c>
      <c r="I23" s="66" t="s">
        <v>463</v>
      </c>
      <c r="L23" s="67" t="s">
        <v>444</v>
      </c>
    </row>
    <row r="24" spans="1:13" x14ac:dyDescent="0.25">
      <c r="A24" s="64">
        <v>14012</v>
      </c>
      <c r="B24" s="64" t="s">
        <v>84</v>
      </c>
      <c r="C24" s="13">
        <v>1</v>
      </c>
      <c r="D24" s="13">
        <f>+COUNTIFS(BDD_SUIVI_CHANTIERS[code_insee],'PRIORISATION-1'!A24,BDD_SUIVI_CHANTIERS[type],"Dalle cabane à cartons")</f>
        <v>0</v>
      </c>
      <c r="E24" s="13">
        <f>+COUNTIFS(BDD_SUIVI_CHANTIERS[code_insee],'PRIORISATION-1'!A24,BDD_SUIVI_CHANTIERS[type],"DALLE PDR")</f>
        <v>4</v>
      </c>
      <c r="F24" s="13">
        <f>+COUNTIFS(BDD_SUIVI_CHANTIERS[code_insee],'PRIORISATION-1'!A24,BDD_SUIVI_CHANTIERS[type],"Dalle borne à verre")</f>
        <v>0</v>
      </c>
      <c r="G24" s="107" t="str">
        <f t="shared" ref="G24:G61" si="0">IF($H24&gt;=$M$33,"P1 - Critique",IF($H24&gt;=$M$34,"P2 - Haute",IF($H24&gt;=$M$35,"P3 - Moyenne","P4 - Basse")))</f>
        <v>P2 - Haute</v>
      </c>
      <c r="H24" s="107" cm="1">
        <f t="array" ref="H24">INDEX($M$24:$M$27,$C24)+IFERROR(VLOOKUP(N($D24),$L$54:$M$57,2,TRUE),0)+IFERROR(VLOOKUP(N($E24),$L$39:$M$43,2,TRUE),0)+IFERROR(VLOOKUP(N($F24),$L$47:$M$50,2,TRUE),0)</f>
        <v>45</v>
      </c>
      <c r="I24" s="13">
        <f t="shared" ref="I24:I61" si="1">+RANK(H24,$H$24:$H$61,0)</f>
        <v>12</v>
      </c>
      <c r="L24" t="s">
        <v>445</v>
      </c>
      <c r="M24" s="68">
        <v>30</v>
      </c>
    </row>
    <row r="25" spans="1:13" x14ac:dyDescent="0.25">
      <c r="A25" s="65">
        <v>14229</v>
      </c>
      <c r="B25" s="65" t="s">
        <v>86</v>
      </c>
      <c r="C25" s="13">
        <v>3</v>
      </c>
      <c r="D25" s="13">
        <f>+COUNTIFS(BDD_SUIVI_CHANTIERS[code_insee],'PRIORISATION-1'!A25,BDD_SUIVI_CHANTIERS[type],"Dalle cabane à cartons")</f>
        <v>3</v>
      </c>
      <c r="E25" s="13">
        <f>+COUNTIFS(BDD_SUIVI_CHANTIERS[code_insee],'PRIORISATION-1'!A25,BDD_SUIVI_CHANTIERS[type],"DALLE PDR")</f>
        <v>9</v>
      </c>
      <c r="F25" s="13">
        <f>+COUNTIFS(BDD_SUIVI_CHANTIERS[code_insee],'PRIORISATION-1'!A25,BDD_SUIVI_CHANTIERS[type],"Dalle borne à verre")</f>
        <v>1</v>
      </c>
      <c r="G25" s="107" t="str">
        <f t="shared" si="0"/>
        <v>P1 - Critique</v>
      </c>
      <c r="H25" s="107" cm="1">
        <f t="array" ref="H25">INDEX($M$24:$M$27,$C25)+IFERROR(VLOOKUP(N($D25),$L$54:$M$57,2,TRUE),0)+IFERROR(VLOOKUP(N($E25),$L$39:$M$43,2,TRUE),0)+IFERROR(VLOOKUP(N($F25),$L$47:$M$50,2,TRUE),0)</f>
        <v>59</v>
      </c>
      <c r="I25" s="13">
        <f t="shared" si="1"/>
        <v>6</v>
      </c>
      <c r="L25" t="s">
        <v>446</v>
      </c>
      <c r="M25" s="68">
        <v>20</v>
      </c>
    </row>
    <row r="26" spans="1:13" x14ac:dyDescent="0.25">
      <c r="A26" s="65">
        <v>14305</v>
      </c>
      <c r="B26" s="65" t="s">
        <v>88</v>
      </c>
      <c r="C26" s="13">
        <v>1</v>
      </c>
      <c r="D26" s="13">
        <f>+COUNTIFS(BDD_SUIVI_CHANTIERS[code_insee],'PRIORISATION-1'!A26,BDD_SUIVI_CHANTIERS[type],"Dalle cabane à cartons")</f>
        <v>0</v>
      </c>
      <c r="E26" s="13">
        <f>+COUNTIFS(BDD_SUIVI_CHANTIERS[code_insee],'PRIORISATION-1'!A26,BDD_SUIVI_CHANTIERS[type],"DALLE PDR")</f>
        <v>10</v>
      </c>
      <c r="F26" s="13">
        <f>+COUNTIFS(BDD_SUIVI_CHANTIERS[code_insee],'PRIORISATION-1'!A26,BDD_SUIVI_CHANTIERS[type],"Dalle borne à verre")</f>
        <v>2</v>
      </c>
      <c r="G26" s="107" t="str">
        <f t="shared" si="0"/>
        <v>P1 - Critique</v>
      </c>
      <c r="H26" s="107" cm="1">
        <f t="array" ref="H26">INDEX($M$24:$M$27,$C26)+IFERROR(VLOOKUP(N($D26),$L$54:$M$57,2,TRUE),0)+IFERROR(VLOOKUP(N($E26),$L$39:$M$43,2,TRUE),0)+IFERROR(VLOOKUP(N($F26),$L$47:$M$50,2,TRUE),0)</f>
        <v>63</v>
      </c>
      <c r="I26" s="13">
        <f t="shared" si="1"/>
        <v>5</v>
      </c>
      <c r="L26" t="s">
        <v>447</v>
      </c>
      <c r="M26" s="68">
        <v>10</v>
      </c>
    </row>
    <row r="27" spans="1:13" x14ac:dyDescent="0.25">
      <c r="A27" s="64">
        <v>14335</v>
      </c>
      <c r="B27" s="64" t="s">
        <v>131</v>
      </c>
      <c r="C27" s="13">
        <v>1</v>
      </c>
      <c r="D27" s="13">
        <f>+COUNTIFS(BDD_SUIVI_CHANTIERS[code_insee],'PRIORISATION-1'!A27,BDD_SUIVI_CHANTIERS[type],"Dalle cabane à cartons")</f>
        <v>0</v>
      </c>
      <c r="E27" s="13">
        <f>+COUNTIFS(BDD_SUIVI_CHANTIERS[code_insee],'PRIORISATION-1'!A27,BDD_SUIVI_CHANTIERS[type],"DALLE PDR")</f>
        <v>0</v>
      </c>
      <c r="F27" s="13">
        <f>+COUNTIFS(BDD_SUIVI_CHANTIERS[code_insee],'PRIORISATION-1'!A27,BDD_SUIVI_CHANTIERS[type],"Dalle borne à verre")</f>
        <v>0</v>
      </c>
      <c r="G27" s="107" t="str">
        <f t="shared" si="0"/>
        <v>P3 - Moyenne</v>
      </c>
      <c r="H27" s="107" cm="1">
        <f t="array" ref="H27">INDEX($M$24:$M$27,$C27)+IFERROR(VLOOKUP(N($D27),$L$54:$M$57,2,TRUE),0)+IFERROR(VLOOKUP(N($E27),$L$39:$M$43,2,TRUE),0)+IFERROR(VLOOKUP(N($F27),$L$47:$M$50,2,TRUE),0)</f>
        <v>30</v>
      </c>
      <c r="I27" s="13">
        <f t="shared" si="1"/>
        <v>21</v>
      </c>
      <c r="L27" t="s">
        <v>448</v>
      </c>
      <c r="M27" s="68">
        <v>0</v>
      </c>
    </row>
    <row r="28" spans="1:13" x14ac:dyDescent="0.25">
      <c r="A28" s="64">
        <v>14550</v>
      </c>
      <c r="B28" s="64" t="s">
        <v>89</v>
      </c>
      <c r="C28" s="13">
        <v>1</v>
      </c>
      <c r="D28" s="13">
        <f>+COUNTIFS(BDD_SUIVI_CHANTIERS[code_insee],'PRIORISATION-1'!A28,BDD_SUIVI_CHANTIERS[type],"Dalle cabane à cartons")</f>
        <v>0</v>
      </c>
      <c r="E28" s="13">
        <f>+COUNTIFS(BDD_SUIVI_CHANTIERS[code_insee],'PRIORISATION-1'!A28,BDD_SUIVI_CHANTIERS[type],"DALLE PDR")</f>
        <v>2</v>
      </c>
      <c r="F28" s="13">
        <f>+COUNTIFS(BDD_SUIVI_CHANTIERS[code_insee],'PRIORISATION-1'!A28,BDD_SUIVI_CHANTIERS[type],"Dalle borne à verre")</f>
        <v>1</v>
      </c>
      <c r="G28" s="107" t="str">
        <f t="shared" si="0"/>
        <v>P2 - Haute</v>
      </c>
      <c r="H28" s="107" cm="1">
        <f t="array" ref="H28">INDEX($M$24:$M$27,$C28)+IFERROR(VLOOKUP(N($D28),$L$54:$M$57,2,TRUE),0)+IFERROR(VLOOKUP(N($E28),$L$39:$M$43,2,TRUE),0)+IFERROR(VLOOKUP(N($F28),$L$47:$M$50,2,TRUE),0)</f>
        <v>44</v>
      </c>
      <c r="I28" s="13">
        <f t="shared" si="1"/>
        <v>14</v>
      </c>
      <c r="L28" s="71" t="s">
        <v>460</v>
      </c>
      <c r="M28" s="68"/>
    </row>
    <row r="29" spans="1:13" x14ac:dyDescent="0.25">
      <c r="A29" s="65">
        <v>14665</v>
      </c>
      <c r="B29" s="65" t="s">
        <v>90</v>
      </c>
      <c r="C29" s="13">
        <v>2</v>
      </c>
      <c r="D29" s="13">
        <f>+COUNTIFS(BDD_SUIVI_CHANTIERS[code_insee],'PRIORISATION-1'!A29,BDD_SUIVI_CHANTIERS[type],"Dalle cabane à cartons")</f>
        <v>1</v>
      </c>
      <c r="E29" s="13">
        <f>+COUNTIFS(BDD_SUIVI_CHANTIERS[code_insee],'PRIORISATION-1'!A29,BDD_SUIVI_CHANTIERS[type],"DALLE PDR")</f>
        <v>2</v>
      </c>
      <c r="F29" s="13">
        <f>+COUNTIFS(BDD_SUIVI_CHANTIERS[code_insee],'PRIORISATION-1'!A29,BDD_SUIVI_CHANTIERS[type],"Dalle borne à verre")</f>
        <v>1</v>
      </c>
      <c r="G29" s="107" t="str">
        <f t="shared" si="0"/>
        <v>P2 - Haute</v>
      </c>
      <c r="H29" s="107" cm="1">
        <f t="array" ref="H29">INDEX($M$24:$M$27,$C29)+IFERROR(VLOOKUP(N($D29),$L$54:$M$57,2,TRUE),0)+IFERROR(VLOOKUP(N($E29),$L$39:$M$43,2,TRUE),0)+IFERROR(VLOOKUP(N($F29),$L$47:$M$50,2,TRUE),0)</f>
        <v>49</v>
      </c>
      <c r="I29" s="13">
        <f t="shared" si="1"/>
        <v>9</v>
      </c>
      <c r="L29" s="71" t="s">
        <v>453</v>
      </c>
      <c r="M29" s="68"/>
    </row>
    <row r="30" spans="1:13" x14ac:dyDescent="0.25">
      <c r="A30" s="64">
        <v>14743</v>
      </c>
      <c r="B30" s="64" t="s">
        <v>136</v>
      </c>
      <c r="C30" s="13">
        <v>2</v>
      </c>
      <c r="D30" s="13">
        <f>+COUNTIFS(BDD_SUIVI_CHANTIERS[code_insee],'PRIORISATION-1'!A30,BDD_SUIVI_CHANTIERS[type],"Dalle cabane à cartons")</f>
        <v>2</v>
      </c>
      <c r="E30" s="13">
        <f>+COUNTIFS(BDD_SUIVI_CHANTIERS[code_insee],'PRIORISATION-1'!A30,BDD_SUIVI_CHANTIERS[type],"DALLE PDR")</f>
        <v>6</v>
      </c>
      <c r="F30" s="13">
        <f>+COUNTIFS(BDD_SUIVI_CHANTIERS[code_insee],'PRIORISATION-1'!A30,BDD_SUIVI_CHANTIERS[type],"Dalle borne à verre")</f>
        <v>1</v>
      </c>
      <c r="G30" s="107" t="str">
        <f t="shared" si="0"/>
        <v>P1 - Critique</v>
      </c>
      <c r="H30" s="107" cm="1">
        <f t="array" ref="H30">INDEX($M$24:$M$27,$C30)+IFERROR(VLOOKUP(N($D30),$L$54:$M$57,2,TRUE),0)+IFERROR(VLOOKUP(N($E30),$L$39:$M$43,2,TRUE),0)+IFERROR(VLOOKUP(N($F30),$L$47:$M$50,2,TRUE),0)</f>
        <v>64</v>
      </c>
      <c r="I30" s="13">
        <f t="shared" si="1"/>
        <v>4</v>
      </c>
      <c r="M30" s="68"/>
    </row>
    <row r="31" spans="1:13" x14ac:dyDescent="0.25">
      <c r="A31" s="64">
        <v>14198</v>
      </c>
      <c r="B31" s="64" t="s">
        <v>93</v>
      </c>
      <c r="C31" s="13">
        <v>2</v>
      </c>
      <c r="D31" s="13">
        <f>+COUNTIFS(BDD_SUIVI_CHANTIERS[code_insee],'PRIORISATION-1'!A31,BDD_SUIVI_CHANTIERS[type],"Dalle cabane à cartons")</f>
        <v>0</v>
      </c>
      <c r="E31" s="13">
        <f>+COUNTIFS(BDD_SUIVI_CHANTIERS[code_insee],'PRIORISATION-1'!A31,BDD_SUIVI_CHANTIERS[type],"DALLE PDR")</f>
        <v>1</v>
      </c>
      <c r="F31" s="13">
        <f>+COUNTIFS(BDD_SUIVI_CHANTIERS[code_insee],'PRIORISATION-1'!A31,BDD_SUIVI_CHANTIERS[type],"Dalle borne à verre")</f>
        <v>1</v>
      </c>
      <c r="G31" s="107" t="str">
        <f t="shared" si="0"/>
        <v>P3 - Moyenne</v>
      </c>
      <c r="H31" s="107" cm="1">
        <f t="array" ref="H31">INDEX($M$24:$M$27,$C31)+IFERROR(VLOOKUP(N($D31),$L$54:$M$57,2,TRUE),0)+IFERROR(VLOOKUP(N($E31),$L$39:$M$43,2,TRUE),0)+IFERROR(VLOOKUP(N($F31),$L$47:$M$50,2,TRUE),0)</f>
        <v>34</v>
      </c>
      <c r="I31" s="13">
        <f t="shared" si="1"/>
        <v>19</v>
      </c>
      <c r="L31" s="71" t="s">
        <v>457</v>
      </c>
      <c r="M31" s="68"/>
    </row>
    <row r="32" spans="1:13" x14ac:dyDescent="0.25">
      <c r="A32" s="64">
        <v>14203</v>
      </c>
      <c r="B32" s="64" t="s">
        <v>94</v>
      </c>
      <c r="C32" s="13">
        <v>2</v>
      </c>
      <c r="D32" s="13">
        <f>+COUNTIFS(BDD_SUIVI_CHANTIERS[code_insee],'PRIORISATION-1'!A32,BDD_SUIVI_CHANTIERS[type],"Dalle cabane à cartons")</f>
        <v>1</v>
      </c>
      <c r="E32" s="13">
        <f>+COUNTIFS(BDD_SUIVI_CHANTIERS[code_insee],'PRIORISATION-1'!A32,BDD_SUIVI_CHANTIERS[type],"DALLE PDR")</f>
        <v>1</v>
      </c>
      <c r="F32" s="13">
        <f>+COUNTIFS(BDD_SUIVI_CHANTIERS[code_insee],'PRIORISATION-1'!A32,BDD_SUIVI_CHANTIERS[type],"Dalle borne à verre")</f>
        <v>0</v>
      </c>
      <c r="G32" s="107" t="str">
        <f t="shared" si="0"/>
        <v>P2 - Haute</v>
      </c>
      <c r="H32" s="107" cm="1">
        <f t="array" ref="H32">INDEX($M$24:$M$27,$C32)+IFERROR(VLOOKUP(N($D32),$L$54:$M$57,2,TRUE),0)+IFERROR(VLOOKUP(N($E32),$L$39:$M$43,2,TRUE),0)+IFERROR(VLOOKUP(N($F32),$L$47:$M$50,2,TRUE),0)</f>
        <v>45</v>
      </c>
      <c r="I32" s="13">
        <f t="shared" si="1"/>
        <v>12</v>
      </c>
    </row>
    <row r="33" spans="1:13" x14ac:dyDescent="0.25">
      <c r="A33" s="65">
        <v>14227</v>
      </c>
      <c r="B33" s="65" t="s">
        <v>95</v>
      </c>
      <c r="C33" s="13">
        <v>2</v>
      </c>
      <c r="D33" s="13">
        <f>+COUNTIFS(BDD_SUIVI_CHANTIERS[code_insee],'PRIORISATION-1'!A33,BDD_SUIVI_CHANTIERS[type],"Dalle cabane à cartons")</f>
        <v>0</v>
      </c>
      <c r="E33" s="13">
        <f>+COUNTIFS(BDD_SUIVI_CHANTIERS[code_insee],'PRIORISATION-1'!A33,BDD_SUIVI_CHANTIERS[type],"DALLE PDR")</f>
        <v>3</v>
      </c>
      <c r="F33" s="13">
        <f>+COUNTIFS(BDD_SUIVI_CHANTIERS[code_insee],'PRIORISATION-1'!A33,BDD_SUIVI_CHANTIERS[type],"Dalle borne à verre")</f>
        <v>1</v>
      </c>
      <c r="G33" s="107" t="str">
        <f t="shared" si="0"/>
        <v>P3 - Moyenne</v>
      </c>
      <c r="H33" s="107" cm="1">
        <f t="array" ref="H33">INDEX($M$24:$M$27,$C33)+IFERROR(VLOOKUP(N($D33),$L$54:$M$57,2,TRUE),0)+IFERROR(VLOOKUP(N($E33),$L$39:$M$43,2,TRUE),0)+IFERROR(VLOOKUP(N($F33),$L$47:$M$50,2,TRUE),0)</f>
        <v>39</v>
      </c>
      <c r="I33" s="13">
        <f t="shared" si="1"/>
        <v>17</v>
      </c>
      <c r="L33" s="69" t="s">
        <v>449</v>
      </c>
      <c r="M33" s="68">
        <v>55</v>
      </c>
    </row>
    <row r="34" spans="1:13" x14ac:dyDescent="0.25">
      <c r="A34" s="64">
        <v>14306</v>
      </c>
      <c r="B34" s="64" t="s">
        <v>96</v>
      </c>
      <c r="C34" s="13">
        <v>2</v>
      </c>
      <c r="D34" s="13">
        <f>+COUNTIFS(BDD_SUIVI_CHANTIERS[code_insee],'PRIORISATION-1'!A34,BDD_SUIVI_CHANTIERS[type],"Dalle cabane à cartons")</f>
        <v>1</v>
      </c>
      <c r="E34" s="13">
        <f>+COUNTIFS(BDD_SUIVI_CHANTIERS[code_insee],'PRIORISATION-1'!A34,BDD_SUIVI_CHANTIERS[type],"DALLE PDR")</f>
        <v>3</v>
      </c>
      <c r="F34" s="13">
        <f>+COUNTIFS(BDD_SUIVI_CHANTIERS[code_insee],'PRIORISATION-1'!A34,BDD_SUIVI_CHANTIERS[type],"Dalle borne à verre")</f>
        <v>1</v>
      </c>
      <c r="G34" s="107" t="str">
        <f t="shared" si="0"/>
        <v>P2 - Haute</v>
      </c>
      <c r="H34" s="107" cm="1">
        <f t="array" ref="H34">INDEX($M$24:$M$27,$C34)+IFERROR(VLOOKUP(N($D34),$L$54:$M$57,2,TRUE),0)+IFERROR(VLOOKUP(N($E34),$L$39:$M$43,2,TRUE),0)+IFERROR(VLOOKUP(N($F34),$L$47:$M$50,2,TRUE),0)</f>
        <v>54</v>
      </c>
      <c r="I34" s="13">
        <f t="shared" si="1"/>
        <v>8</v>
      </c>
      <c r="L34" s="69" t="s">
        <v>450</v>
      </c>
      <c r="M34" s="68">
        <v>40</v>
      </c>
    </row>
    <row r="35" spans="1:13" x14ac:dyDescent="0.25">
      <c r="A35" s="64">
        <v>14308</v>
      </c>
      <c r="B35" s="64" t="s">
        <v>97</v>
      </c>
      <c r="C35" s="13">
        <v>2</v>
      </c>
      <c r="D35" s="13">
        <f>+COUNTIFS(BDD_SUIVI_CHANTIERS[code_insee],'PRIORISATION-1'!A35,BDD_SUIVI_CHANTIERS[type],"Dalle cabane à cartons")</f>
        <v>0</v>
      </c>
      <c r="E35" s="13">
        <f>+COUNTIFS(BDD_SUIVI_CHANTIERS[code_insee],'PRIORISATION-1'!A35,BDD_SUIVI_CHANTIERS[type],"DALLE PDR")</f>
        <v>1</v>
      </c>
      <c r="F35" s="13">
        <f>+COUNTIFS(BDD_SUIVI_CHANTIERS[code_insee],'PRIORISATION-1'!A35,BDD_SUIVI_CHANTIERS[type],"Dalle borne à verre")</f>
        <v>0</v>
      </c>
      <c r="G35" s="107" t="str">
        <f t="shared" si="0"/>
        <v>P3 - Moyenne</v>
      </c>
      <c r="H35" s="107" cm="1">
        <f t="array" ref="H35">INDEX($M$24:$M$27,$C35)+IFERROR(VLOOKUP(N($D35),$L$54:$M$57,2,TRUE),0)+IFERROR(VLOOKUP(N($E35),$L$39:$M$43,2,TRUE),0)+IFERROR(VLOOKUP(N($F35),$L$47:$M$50,2,TRUE),0)</f>
        <v>30</v>
      </c>
      <c r="I35" s="13">
        <f t="shared" si="1"/>
        <v>21</v>
      </c>
      <c r="L35" s="69" t="s">
        <v>451</v>
      </c>
      <c r="M35" s="68">
        <v>30</v>
      </c>
    </row>
    <row r="36" spans="1:13" x14ac:dyDescent="0.25">
      <c r="A36" s="64">
        <v>14316</v>
      </c>
      <c r="B36" s="64" t="s">
        <v>98</v>
      </c>
      <c r="C36" s="13">
        <v>1</v>
      </c>
      <c r="D36" s="13">
        <f>+COUNTIFS(BDD_SUIVI_CHANTIERS[code_insee],'PRIORISATION-1'!A36,BDD_SUIVI_CHANTIERS[type],"Dalle cabane à cartons")</f>
        <v>1</v>
      </c>
      <c r="E36" s="13">
        <f>+COUNTIFS(BDD_SUIVI_CHANTIERS[code_insee],'PRIORISATION-1'!A36,BDD_SUIVI_CHANTIERS[type],"DALLE PDR")</f>
        <v>8</v>
      </c>
      <c r="F36" s="13">
        <f>+COUNTIFS(BDD_SUIVI_CHANTIERS[code_insee],'PRIORISATION-1'!A36,BDD_SUIVI_CHANTIERS[type],"Dalle borne à verre")</f>
        <v>0</v>
      </c>
      <c r="G36" s="107" t="str">
        <f t="shared" si="0"/>
        <v>P1 - Critique</v>
      </c>
      <c r="H36" s="107" cm="1">
        <f t="array" ref="H36">INDEX($M$24:$M$27,$C36)+IFERROR(VLOOKUP(N($D36),$L$54:$M$57,2,TRUE),0)+IFERROR(VLOOKUP(N($E36),$L$39:$M$43,2,TRUE),0)+IFERROR(VLOOKUP(N($F36),$L$47:$M$50,2,TRUE),0)</f>
        <v>65</v>
      </c>
      <c r="I36" s="13">
        <f t="shared" si="1"/>
        <v>3</v>
      </c>
    </row>
    <row r="37" spans="1:13" x14ac:dyDescent="0.25">
      <c r="A37" s="65">
        <v>14045</v>
      </c>
      <c r="B37" s="65" t="s">
        <v>99</v>
      </c>
      <c r="C37" s="13">
        <v>3</v>
      </c>
      <c r="D37" s="13">
        <f>+COUNTIFS(BDD_SUIVI_CHANTIERS[code_insee],'PRIORISATION-1'!A37,BDD_SUIVI_CHANTIERS[type],"Dalle cabane à cartons")</f>
        <v>0</v>
      </c>
      <c r="E37" s="13">
        <f>+COUNTIFS(BDD_SUIVI_CHANTIERS[code_insee],'PRIORISATION-1'!A37,BDD_SUIVI_CHANTIERS[type],"DALLE PDR")</f>
        <v>4</v>
      </c>
      <c r="F37" s="13">
        <f>+COUNTIFS(BDD_SUIVI_CHANTIERS[code_insee],'PRIORISATION-1'!A37,BDD_SUIVI_CHANTIERS[type],"Dalle borne à verre")</f>
        <v>0</v>
      </c>
      <c r="G37" s="107" t="str">
        <f t="shared" si="0"/>
        <v>P4 - Basse</v>
      </c>
      <c r="H37" s="107" cm="1">
        <f t="array" ref="H37">INDEX($M$24:$M$27,$C37)+IFERROR(VLOOKUP(N($D37),$L$54:$M$57,2,TRUE),0)+IFERROR(VLOOKUP(N($E37),$L$39:$M$43,2,TRUE),0)+IFERROR(VLOOKUP(N($F37),$L$47:$M$50,2,TRUE),0)</f>
        <v>25</v>
      </c>
      <c r="I37" s="13">
        <f t="shared" si="1"/>
        <v>25</v>
      </c>
      <c r="L37" s="72" t="s">
        <v>454</v>
      </c>
    </row>
    <row r="38" spans="1:13" x14ac:dyDescent="0.25">
      <c r="A38" s="65">
        <v>14231</v>
      </c>
      <c r="B38" s="65" t="s">
        <v>100</v>
      </c>
      <c r="C38" s="13">
        <v>3</v>
      </c>
      <c r="D38" s="13">
        <f>+COUNTIFS(BDD_SUIVI_CHANTIERS[code_insee],'PRIORISATION-1'!A38,BDD_SUIVI_CHANTIERS[type],"Dalle cabane à cartons")</f>
        <v>1</v>
      </c>
      <c r="E38" s="13">
        <f>+COUNTIFS(BDD_SUIVI_CHANTIERS[code_insee],'PRIORISATION-1'!A38,BDD_SUIVI_CHANTIERS[type],"DALLE PDR")</f>
        <v>1</v>
      </c>
      <c r="F38" s="13">
        <f>+COUNTIFS(BDD_SUIVI_CHANTIERS[code_insee],'PRIORISATION-1'!A38,BDD_SUIVI_CHANTIERS[type],"Dalle borne à verre")</f>
        <v>0</v>
      </c>
      <c r="G38" s="107" t="str">
        <f t="shared" si="0"/>
        <v>P3 - Moyenne</v>
      </c>
      <c r="H38" s="107" cm="1">
        <f t="array" ref="H38">INDEX($M$24:$M$27,$C38)+IFERROR(VLOOKUP(N($D38),$L$54:$M$57,2,TRUE),0)+IFERROR(VLOOKUP(N($E38),$L$39:$M$43,2,TRUE),0)+IFERROR(VLOOKUP(N($F38),$L$47:$M$50,2,TRUE),0)</f>
        <v>35</v>
      </c>
      <c r="I38" s="13">
        <f t="shared" si="1"/>
        <v>18</v>
      </c>
      <c r="L38" s="69" t="s">
        <v>455</v>
      </c>
      <c r="M38" s="69" t="s">
        <v>456</v>
      </c>
    </row>
    <row r="39" spans="1:13" x14ac:dyDescent="0.25">
      <c r="A39" s="64">
        <v>14070</v>
      </c>
      <c r="B39" s="64" t="s">
        <v>101</v>
      </c>
      <c r="C39" s="13">
        <v>3</v>
      </c>
      <c r="D39" s="13">
        <f>+COUNTIFS(BDD_SUIVI_CHANTIERS[code_insee],'PRIORISATION-1'!A39,BDD_SUIVI_CHANTIERS[type],"Dalle cabane à cartons")</f>
        <v>2</v>
      </c>
      <c r="E39" s="13">
        <f>+COUNTIFS(BDD_SUIVI_CHANTIERS[code_insee],'PRIORISATION-1'!A39,BDD_SUIVI_CHANTIERS[type],"DALLE PDR")</f>
        <v>2</v>
      </c>
      <c r="F39" s="13">
        <f>+COUNTIFS(BDD_SUIVI_CHANTIERS[code_insee],'PRIORISATION-1'!A39,BDD_SUIVI_CHANTIERS[type],"Dalle borne à verre")</f>
        <v>0</v>
      </c>
      <c r="G39" s="107" t="str">
        <f t="shared" si="0"/>
        <v>P2 - Haute</v>
      </c>
      <c r="H39" s="107" cm="1">
        <f t="array" ref="H39">INDEX($M$24:$M$27,$C39)+IFERROR(VLOOKUP(N($D39),$L$54:$M$57,2,TRUE),0)+IFERROR(VLOOKUP(N($E39),$L$39:$M$43,2,TRUE),0)+IFERROR(VLOOKUP(N($F39),$L$47:$M$50,2,TRUE),0)</f>
        <v>40</v>
      </c>
      <c r="I39" s="13">
        <f t="shared" si="1"/>
        <v>15</v>
      </c>
      <c r="L39" s="68">
        <v>0</v>
      </c>
      <c r="M39" s="68">
        <v>0</v>
      </c>
    </row>
    <row r="40" spans="1:13" x14ac:dyDescent="0.25">
      <c r="A40" s="65">
        <v>14110</v>
      </c>
      <c r="B40" s="65" t="s">
        <v>102</v>
      </c>
      <c r="C40" s="13">
        <v>3</v>
      </c>
      <c r="D40" s="13">
        <f>+COUNTIFS(BDD_SUIVI_CHANTIERS[code_insee],'PRIORISATION-1'!A40,BDD_SUIVI_CHANTIERS[type],"Dalle cabane à cartons")</f>
        <v>0</v>
      </c>
      <c r="E40" s="13">
        <f>+COUNTIFS(BDD_SUIVI_CHANTIERS[code_insee],'PRIORISATION-1'!A40,BDD_SUIVI_CHANTIERS[type],"DALLE PDR")</f>
        <v>3</v>
      </c>
      <c r="F40" s="13">
        <f>+COUNTIFS(BDD_SUIVI_CHANTIERS[code_insee],'PRIORISATION-1'!A40,BDD_SUIVI_CHANTIERS[type],"Dalle borne à verre")</f>
        <v>1</v>
      </c>
      <c r="G40" s="107" t="str">
        <f t="shared" si="0"/>
        <v>P4 - Basse</v>
      </c>
      <c r="H40" s="107" cm="1">
        <f t="array" ref="H40">INDEX($M$24:$M$27,$C40)+IFERROR(VLOOKUP(N($D40),$L$54:$M$57,2,TRUE),0)+IFERROR(VLOOKUP(N($E40),$L$39:$M$43,2,TRUE),0)+IFERROR(VLOOKUP(N($F40),$L$47:$M$50,2,TRUE),0)</f>
        <v>29</v>
      </c>
      <c r="I40" s="13">
        <f t="shared" si="1"/>
        <v>23</v>
      </c>
      <c r="L40" s="68">
        <v>1</v>
      </c>
      <c r="M40" s="68">
        <v>10</v>
      </c>
    </row>
    <row r="41" spans="1:13" x14ac:dyDescent="0.25">
      <c r="A41" s="65">
        <v>14524</v>
      </c>
      <c r="B41" s="65" t="s">
        <v>103</v>
      </c>
      <c r="C41" s="13">
        <v>3</v>
      </c>
      <c r="D41" s="13">
        <f>+COUNTIFS(BDD_SUIVI_CHANTIERS[code_insee],'PRIORISATION-1'!A41,BDD_SUIVI_CHANTIERS[type],"Dalle cabane à cartons")</f>
        <v>1</v>
      </c>
      <c r="E41" s="13">
        <f>+COUNTIFS(BDD_SUIVI_CHANTIERS[code_insee],'PRIORISATION-1'!A41,BDD_SUIVI_CHANTIERS[type],"DALLE PDR")</f>
        <v>0</v>
      </c>
      <c r="F41" s="13">
        <f>+COUNTIFS(BDD_SUIVI_CHANTIERS[code_insee],'PRIORISATION-1'!A41,BDD_SUIVI_CHANTIERS[type],"Dalle borne à verre")</f>
        <v>0</v>
      </c>
      <c r="G41" s="107" t="str">
        <f t="shared" si="0"/>
        <v>P4 - Basse</v>
      </c>
      <c r="H41" s="107" cm="1">
        <f t="array" ref="H41">INDEX($M$24:$M$27,$C41)+IFERROR(VLOOKUP(N($D41),$L$54:$M$57,2,TRUE),0)+IFERROR(VLOOKUP(N($E41),$L$39:$M$43,2,TRUE),0)+IFERROR(VLOOKUP(N($F41),$L$47:$M$50,2,TRUE),0)</f>
        <v>25</v>
      </c>
      <c r="I41" s="13">
        <f t="shared" si="1"/>
        <v>25</v>
      </c>
      <c r="L41" s="68">
        <v>3</v>
      </c>
      <c r="M41" s="68">
        <v>15</v>
      </c>
    </row>
    <row r="42" spans="1:13" x14ac:dyDescent="0.25">
      <c r="A42" s="65">
        <v>14598</v>
      </c>
      <c r="B42" s="65" t="s">
        <v>104</v>
      </c>
      <c r="C42" s="13">
        <v>3</v>
      </c>
      <c r="D42" s="13">
        <f>+COUNTIFS(BDD_SUIVI_CHANTIERS[code_insee],'PRIORISATION-1'!A42,BDD_SUIVI_CHANTIERS[type],"Dalle cabane à cartons")</f>
        <v>1</v>
      </c>
      <c r="E42" s="13">
        <f>+COUNTIFS(BDD_SUIVI_CHANTIERS[code_insee],'PRIORISATION-1'!A42,BDD_SUIVI_CHANTIERS[type],"DALLE PDR")</f>
        <v>3</v>
      </c>
      <c r="F42" s="13">
        <f>+COUNTIFS(BDD_SUIVI_CHANTIERS[code_insee],'PRIORISATION-1'!A42,BDD_SUIVI_CHANTIERS[type],"Dalle borne à verre")</f>
        <v>0</v>
      </c>
      <c r="G42" s="107" t="str">
        <f t="shared" si="0"/>
        <v>P2 - Haute</v>
      </c>
      <c r="H42" s="107" cm="1">
        <f t="array" ref="H42">INDEX($M$24:$M$27,$C42)+IFERROR(VLOOKUP(N($D42),$L$54:$M$57,2,TRUE),0)+IFERROR(VLOOKUP(N($E42),$L$39:$M$43,2,TRUE),0)+IFERROR(VLOOKUP(N($F42),$L$47:$M$50,2,TRUE),0)</f>
        <v>40</v>
      </c>
      <c r="I42" s="13">
        <f t="shared" si="1"/>
        <v>15</v>
      </c>
      <c r="L42" s="68">
        <v>6</v>
      </c>
      <c r="M42" s="68">
        <v>20</v>
      </c>
    </row>
    <row r="43" spans="1:13" x14ac:dyDescent="0.25">
      <c r="A43" s="65">
        <v>14009</v>
      </c>
      <c r="B43" s="65" t="s">
        <v>105</v>
      </c>
      <c r="C43" s="13">
        <v>4</v>
      </c>
      <c r="D43" s="13">
        <f>+COUNTIFS(BDD_SUIVI_CHANTIERS[code_insee],'PRIORISATION-1'!A43,BDD_SUIVI_CHANTIERS[type],"Dalle cabane à cartons")</f>
        <v>1</v>
      </c>
      <c r="E43" s="13">
        <f>+COUNTIFS(BDD_SUIVI_CHANTIERS[code_insee],'PRIORISATION-1'!A43,BDD_SUIVI_CHANTIERS[type],"DALLE PDR")</f>
        <v>2</v>
      </c>
      <c r="F43" s="13">
        <f>+COUNTIFS(BDD_SUIVI_CHANTIERS[code_insee],'PRIORISATION-1'!A43,BDD_SUIVI_CHANTIERS[type],"Dalle borne à verre")</f>
        <v>2</v>
      </c>
      <c r="G43" s="107" t="str">
        <f t="shared" si="0"/>
        <v>P3 - Moyenne</v>
      </c>
      <c r="H43" s="107" cm="1">
        <f t="array" ref="H43">INDEX($M$24:$M$27,$C43)+IFERROR(VLOOKUP(N($D43),$L$54:$M$57,2,TRUE),0)+IFERROR(VLOOKUP(N($E43),$L$39:$M$43,2,TRUE),0)+IFERROR(VLOOKUP(N($F43),$L$47:$M$50,2,TRUE),0)</f>
        <v>33</v>
      </c>
      <c r="I43" s="13">
        <f t="shared" si="1"/>
        <v>20</v>
      </c>
      <c r="L43" s="68">
        <v>10</v>
      </c>
      <c r="M43" s="68">
        <v>25</v>
      </c>
    </row>
    <row r="44" spans="1:13" x14ac:dyDescent="0.25">
      <c r="A44" s="65">
        <v>14024</v>
      </c>
      <c r="B44" s="65" t="s">
        <v>106</v>
      </c>
      <c r="C44" s="13">
        <v>4</v>
      </c>
      <c r="D44" s="13">
        <f>+COUNTIFS(BDD_SUIVI_CHANTIERS[code_insee],'PRIORISATION-1'!A44,BDD_SUIVI_CHANTIERS[type],"Dalle cabane à cartons")</f>
        <v>0</v>
      </c>
      <c r="E44" s="13">
        <f>+COUNTIFS(BDD_SUIVI_CHANTIERS[code_insee],'PRIORISATION-1'!A44,BDD_SUIVI_CHANTIERS[type],"DALLE PDR")</f>
        <v>2</v>
      </c>
      <c r="F44" s="13">
        <f>+COUNTIFS(BDD_SUIVI_CHANTIERS[code_insee],'PRIORISATION-1'!A44,BDD_SUIVI_CHANTIERS[type],"Dalle borne à verre")</f>
        <v>1</v>
      </c>
      <c r="G44" s="107" t="str">
        <f t="shared" si="0"/>
        <v>P4 - Basse</v>
      </c>
      <c r="H44" s="107" cm="1">
        <f t="array" ref="H44">INDEX($M$24:$M$27,$C44)+IFERROR(VLOOKUP(N($D44),$L$54:$M$57,2,TRUE),0)+IFERROR(VLOOKUP(N($E44),$L$39:$M$43,2,TRUE),0)+IFERROR(VLOOKUP(N($F44),$L$47:$M$50,2,TRUE),0)</f>
        <v>14</v>
      </c>
      <c r="I44" s="13">
        <f t="shared" si="1"/>
        <v>29</v>
      </c>
    </row>
    <row r="45" spans="1:13" x14ac:dyDescent="0.25">
      <c r="A45" s="65">
        <v>14046</v>
      </c>
      <c r="B45" s="65" t="s">
        <v>107</v>
      </c>
      <c r="C45" s="13">
        <v>4</v>
      </c>
      <c r="D45" s="13">
        <f>+COUNTIFS(BDD_SUIVI_CHANTIERS[code_insee],'PRIORISATION-1'!A45,BDD_SUIVI_CHANTIERS[type],"Dalle cabane à cartons")</f>
        <v>0</v>
      </c>
      <c r="E45" s="13">
        <f>+COUNTIFS(BDD_SUIVI_CHANTIERS[code_insee],'PRIORISATION-1'!A45,BDD_SUIVI_CHANTIERS[type],"DALLE PDR")</f>
        <v>6</v>
      </c>
      <c r="F45" s="13">
        <f>+COUNTIFS(BDD_SUIVI_CHANTIERS[code_insee],'PRIORISATION-1'!A45,BDD_SUIVI_CHANTIERS[type],"Dalle borne à verre")</f>
        <v>2</v>
      </c>
      <c r="G45" s="107" t="str">
        <f t="shared" si="0"/>
        <v>P4 - Basse</v>
      </c>
      <c r="H45" s="107" cm="1">
        <f t="array" ref="H45">INDEX($M$24:$M$27,$C45)+IFERROR(VLOOKUP(N($D45),$L$54:$M$57,2,TRUE),0)+IFERROR(VLOOKUP(N($E45),$L$39:$M$43,2,TRUE),0)+IFERROR(VLOOKUP(N($F45),$L$47:$M$50,2,TRUE),0)</f>
        <v>28</v>
      </c>
      <c r="I45" s="13">
        <f t="shared" si="1"/>
        <v>24</v>
      </c>
      <c r="L45" s="72" t="s">
        <v>458</v>
      </c>
    </row>
    <row r="46" spans="1:13" x14ac:dyDescent="0.25">
      <c r="A46" s="64">
        <v>14106</v>
      </c>
      <c r="B46" s="64" t="s">
        <v>108</v>
      </c>
      <c r="C46" s="13">
        <v>4</v>
      </c>
      <c r="D46" s="13">
        <f>+COUNTIFS(BDD_SUIVI_CHANTIERS[code_insee],'PRIORISATION-1'!A46,BDD_SUIVI_CHANTIERS[type],"Dalle cabane à cartons")</f>
        <v>0</v>
      </c>
      <c r="E46" s="13">
        <f>+COUNTIFS(BDD_SUIVI_CHANTIERS[code_insee],'PRIORISATION-1'!A46,BDD_SUIVI_CHANTIERS[type],"DALLE PDR")</f>
        <v>1</v>
      </c>
      <c r="F46" s="13">
        <f>+COUNTIFS(BDD_SUIVI_CHANTIERS[code_insee],'PRIORISATION-1'!A46,BDD_SUIVI_CHANTIERS[type],"Dalle borne à verre")</f>
        <v>1</v>
      </c>
      <c r="G46" s="107" t="str">
        <f t="shared" si="0"/>
        <v>P4 - Basse</v>
      </c>
      <c r="H46" s="107" cm="1">
        <f t="array" ref="H46">INDEX($M$24:$M$27,$C46)+IFERROR(VLOOKUP(N($D46),$L$54:$M$57,2,TRUE),0)+IFERROR(VLOOKUP(N($E46),$L$39:$M$43,2,TRUE),0)+IFERROR(VLOOKUP(N($F46),$L$47:$M$50,2,TRUE),0)</f>
        <v>14</v>
      </c>
      <c r="I46" s="13">
        <f t="shared" si="1"/>
        <v>29</v>
      </c>
      <c r="L46" s="69" t="s">
        <v>459</v>
      </c>
      <c r="M46" s="69" t="s">
        <v>456</v>
      </c>
    </row>
    <row r="47" spans="1:13" x14ac:dyDescent="0.25">
      <c r="A47" s="65">
        <v>14117</v>
      </c>
      <c r="B47" s="65" t="s">
        <v>109</v>
      </c>
      <c r="C47" s="13">
        <v>1</v>
      </c>
      <c r="D47" s="13">
        <f>+COUNTIFS(BDD_SUIVI_CHANTIERS[code_insee],'PRIORISATION-1'!A47,BDD_SUIVI_CHANTIERS[type],"Dalle cabane à cartons")</f>
        <v>2</v>
      </c>
      <c r="E47" s="13">
        <f>+COUNTIFS(BDD_SUIVI_CHANTIERS[code_insee],'PRIORISATION-1'!A47,BDD_SUIVI_CHANTIERS[type],"DALLE PDR")</f>
        <v>2</v>
      </c>
      <c r="F47" s="13">
        <f>+COUNTIFS(BDD_SUIVI_CHANTIERS[code_insee],'PRIORISATION-1'!A47,BDD_SUIVI_CHANTIERS[type],"Dalle borne à verre")</f>
        <v>3</v>
      </c>
      <c r="G47" s="107" t="str">
        <f t="shared" si="0"/>
        <v>P1 - Critique</v>
      </c>
      <c r="H47" s="107" cm="1">
        <f t="array" ref="H47">INDEX($M$24:$M$27,$C47)+IFERROR(VLOOKUP(N($D47),$L$54:$M$57,2,TRUE),0)+IFERROR(VLOOKUP(N($E47),$L$39:$M$43,2,TRUE),0)+IFERROR(VLOOKUP(N($F47),$L$47:$M$50,2,TRUE),0)</f>
        <v>72</v>
      </c>
      <c r="I47" s="13">
        <f t="shared" si="1"/>
        <v>1</v>
      </c>
      <c r="L47" s="68">
        <v>0</v>
      </c>
      <c r="M47" s="68">
        <v>0</v>
      </c>
    </row>
    <row r="48" spans="1:13" ht="18" customHeight="1" x14ac:dyDescent="0.25">
      <c r="A48" s="64">
        <v>14225</v>
      </c>
      <c r="B48" s="64" t="s">
        <v>110</v>
      </c>
      <c r="C48" s="13">
        <v>1</v>
      </c>
      <c r="D48" s="13">
        <f>+COUNTIFS(BDD_SUIVI_CHANTIERS[code_insee],'PRIORISATION-1'!A48,BDD_SUIVI_CHANTIERS[type],"Dalle cabane à cartons")</f>
        <v>0</v>
      </c>
      <c r="E48" s="13">
        <f>+COUNTIFS(BDD_SUIVI_CHANTIERS[code_insee],'PRIORISATION-1'!A48,BDD_SUIVI_CHANTIERS[type],"DALLE PDR")</f>
        <v>3</v>
      </c>
      <c r="F48" s="13">
        <f>+COUNTIFS(BDD_SUIVI_CHANTIERS[code_insee],'PRIORISATION-1'!A48,BDD_SUIVI_CHANTIERS[type],"Dalle borne à verre")</f>
        <v>4</v>
      </c>
      <c r="G48" s="107" t="str">
        <f t="shared" si="0"/>
        <v>P1 - Critique</v>
      </c>
      <c r="H48" s="107" cm="1">
        <f t="array" ref="H48">INDEX($M$24:$M$27,$C48)+IFERROR(VLOOKUP(N($D48),$L$54:$M$57,2,TRUE),0)+IFERROR(VLOOKUP(N($E48),$L$39:$M$43,2,TRUE),0)+IFERROR(VLOOKUP(N($F48),$L$47:$M$50,2,TRUE),0)</f>
        <v>57</v>
      </c>
      <c r="I48" s="13">
        <f t="shared" si="1"/>
        <v>7</v>
      </c>
      <c r="L48" s="68">
        <v>1</v>
      </c>
      <c r="M48" s="68">
        <v>4</v>
      </c>
    </row>
    <row r="49" spans="1:13" x14ac:dyDescent="0.25">
      <c r="A49" s="65">
        <v>14246</v>
      </c>
      <c r="B49" s="65" t="s">
        <v>129</v>
      </c>
      <c r="C49" s="13">
        <v>4</v>
      </c>
      <c r="D49" s="13">
        <f>+COUNTIFS(BDD_SUIVI_CHANTIERS[code_insee],'PRIORISATION-1'!A49,BDD_SUIVI_CHANTIERS[type],"Dalle cabane à cartons")</f>
        <v>1</v>
      </c>
      <c r="E49" s="13">
        <f>+COUNTIFS(BDD_SUIVI_CHANTIERS[code_insee],'PRIORISATION-1'!A49,BDD_SUIVI_CHANTIERS[type],"DALLE PDR")</f>
        <v>0</v>
      </c>
      <c r="F49" s="13">
        <f>+COUNTIFS(BDD_SUIVI_CHANTIERS[code_insee],'PRIORISATION-1'!A49,BDD_SUIVI_CHANTIERS[type],"Dalle borne à verre")</f>
        <v>0</v>
      </c>
      <c r="G49" s="107" t="str">
        <f t="shared" si="0"/>
        <v>P4 - Basse</v>
      </c>
      <c r="H49" s="107" cm="1">
        <f t="array" ref="H49">INDEX($M$24:$M$27,$C49)+IFERROR(VLOOKUP(N($D49),$L$54:$M$57,2,TRUE),0)+IFERROR(VLOOKUP(N($E49),$L$39:$M$43,2,TRUE),0)+IFERROR(VLOOKUP(N($F49),$L$47:$M$50,2,TRUE),0)</f>
        <v>15</v>
      </c>
      <c r="I49" s="13">
        <f t="shared" si="1"/>
        <v>28</v>
      </c>
      <c r="L49" s="68">
        <v>2</v>
      </c>
      <c r="M49" s="68">
        <v>8</v>
      </c>
    </row>
    <row r="50" spans="1:13" x14ac:dyDescent="0.25">
      <c r="A50" s="64">
        <v>14328</v>
      </c>
      <c r="B50" s="64" t="s">
        <v>130</v>
      </c>
      <c r="C50" s="13">
        <v>4</v>
      </c>
      <c r="D50" s="13">
        <f>+COUNTIFS(BDD_SUIVI_CHANTIERS[code_insee],'PRIORISATION-1'!A50,BDD_SUIVI_CHANTIERS[type],"Dalle cabane à cartons")</f>
        <v>0</v>
      </c>
      <c r="E50" s="13">
        <f>+COUNTIFS(BDD_SUIVI_CHANTIERS[code_insee],'PRIORISATION-1'!A50,BDD_SUIVI_CHANTIERS[type],"DALLE PDR")</f>
        <v>0</v>
      </c>
      <c r="F50" s="13">
        <f>+COUNTIFS(BDD_SUIVI_CHANTIERS[code_insee],'PRIORISATION-1'!A50,BDD_SUIVI_CHANTIERS[type],"Dalle borne à verre")</f>
        <v>0</v>
      </c>
      <c r="G50" s="107" t="str">
        <f t="shared" si="0"/>
        <v>P4 - Basse</v>
      </c>
      <c r="H50" s="107" cm="1">
        <f t="array" ref="H50">INDEX($M$24:$M$27,$C50)+IFERROR(VLOOKUP(N($D50),$L$54:$M$57,2,TRUE),0)+IFERROR(VLOOKUP(N($E50),$L$39:$M$43,2,TRUE),0)+IFERROR(VLOOKUP(N($F50),$L$47:$M$50,2,TRUE),0)</f>
        <v>0</v>
      </c>
      <c r="I50" s="13">
        <f t="shared" si="1"/>
        <v>34</v>
      </c>
      <c r="L50" s="68">
        <v>3</v>
      </c>
      <c r="M50" s="68">
        <v>12</v>
      </c>
    </row>
    <row r="51" spans="1:13" x14ac:dyDescent="0.25">
      <c r="A51" s="65">
        <v>14329</v>
      </c>
      <c r="B51" s="65" t="s">
        <v>111</v>
      </c>
      <c r="C51" s="13">
        <v>4</v>
      </c>
      <c r="D51" s="13">
        <f>+COUNTIFS(BDD_SUIVI_CHANTIERS[code_insee],'PRIORISATION-1'!A51,BDD_SUIVI_CHANTIERS[type],"Dalle cabane à cartons")</f>
        <v>0</v>
      </c>
      <c r="E51" s="13">
        <f>+COUNTIFS(BDD_SUIVI_CHANTIERS[code_insee],'PRIORISATION-1'!A51,BDD_SUIVI_CHANTIERS[type],"DALLE PDR")</f>
        <v>1</v>
      </c>
      <c r="F51" s="13">
        <f>+COUNTIFS(BDD_SUIVI_CHANTIERS[code_insee],'PRIORISATION-1'!A51,BDD_SUIVI_CHANTIERS[type],"Dalle borne à verre")</f>
        <v>0</v>
      </c>
      <c r="G51" s="107" t="str">
        <f t="shared" si="0"/>
        <v>P4 - Basse</v>
      </c>
      <c r="H51" s="107" cm="1">
        <f t="array" ref="H51">INDEX($M$24:$M$27,$C51)+IFERROR(VLOOKUP(N($D51),$L$54:$M$57,2,TRUE),0)+IFERROR(VLOOKUP(N($E51),$L$39:$M$43,2,TRUE),0)+IFERROR(VLOOKUP(N($F51),$L$47:$M$50,2,TRUE),0)</f>
        <v>10</v>
      </c>
      <c r="I51" s="13">
        <f t="shared" si="1"/>
        <v>31</v>
      </c>
    </row>
    <row r="52" spans="1:13" x14ac:dyDescent="0.25">
      <c r="A52" s="64">
        <v>14338</v>
      </c>
      <c r="B52" s="64" t="s">
        <v>112</v>
      </c>
      <c r="C52" s="13">
        <v>1</v>
      </c>
      <c r="D52" s="13">
        <f>+COUNTIFS(BDD_SUIVI_CHANTIERS[code_insee],'PRIORISATION-1'!A52,BDD_SUIVI_CHANTIERS[type],"Dalle cabane à cartons")</f>
        <v>1</v>
      </c>
      <c r="E52" s="13">
        <f>+COUNTIFS(BDD_SUIVI_CHANTIERS[code_insee],'PRIORISATION-1'!A52,BDD_SUIVI_CHANTIERS[type],"DALLE PDR")</f>
        <v>6</v>
      </c>
      <c r="F52" s="13">
        <f>+COUNTIFS(BDD_SUIVI_CHANTIERS[code_insee],'PRIORISATION-1'!A52,BDD_SUIVI_CHANTIERS[type],"Dalle borne à verre")</f>
        <v>1</v>
      </c>
      <c r="G52" s="107" t="str">
        <f t="shared" si="0"/>
        <v>P1 - Critique</v>
      </c>
      <c r="H52" s="107" cm="1">
        <f t="array" ref="H52">INDEX($M$24:$M$27,$C52)+IFERROR(VLOOKUP(N($D52),$L$54:$M$57,2,TRUE),0)+IFERROR(VLOOKUP(N($E52),$L$39:$M$43,2,TRUE),0)+IFERROR(VLOOKUP(N($F52),$L$47:$M$50,2,TRUE),0)</f>
        <v>69</v>
      </c>
      <c r="I52" s="13">
        <f t="shared" si="1"/>
        <v>2</v>
      </c>
      <c r="L52" s="72" t="s">
        <v>461</v>
      </c>
    </row>
    <row r="53" spans="1:13" x14ac:dyDescent="0.25">
      <c r="A53" s="64">
        <v>14409</v>
      </c>
      <c r="B53" s="64" t="s">
        <v>113</v>
      </c>
      <c r="C53" s="13">
        <v>1</v>
      </c>
      <c r="D53" s="13">
        <f>+COUNTIFS(BDD_SUIVI_CHANTIERS[code_insee],'PRIORISATION-1'!A53,BDD_SUIVI_CHANTIERS[type],"Dalle cabane à cartons")</f>
        <v>0</v>
      </c>
      <c r="E53" s="13">
        <f>+COUNTIFS(BDD_SUIVI_CHANTIERS[code_insee],'PRIORISATION-1'!A53,BDD_SUIVI_CHANTIERS[type],"DALLE PDR")</f>
        <v>2</v>
      </c>
      <c r="F53" s="13">
        <f>+COUNTIFS(BDD_SUIVI_CHANTIERS[code_insee],'PRIORISATION-1'!A53,BDD_SUIVI_CHANTIERS[type],"Dalle borne à verre")</f>
        <v>2</v>
      </c>
      <c r="G53" s="107" t="str">
        <f t="shared" si="0"/>
        <v>P2 - Haute</v>
      </c>
      <c r="H53" s="107" cm="1">
        <f t="array" ref="H53">INDEX($M$24:$M$27,$C53)+IFERROR(VLOOKUP(N($D53),$L$54:$M$57,2,TRUE),0)+IFERROR(VLOOKUP(N($E53),$L$39:$M$43,2,TRUE),0)+IFERROR(VLOOKUP(N($F53),$L$47:$M$50,2,TRUE),0)</f>
        <v>48</v>
      </c>
      <c r="I53" s="13">
        <f t="shared" si="1"/>
        <v>11</v>
      </c>
      <c r="L53" s="69" t="s">
        <v>462</v>
      </c>
      <c r="M53" s="69" t="s">
        <v>456</v>
      </c>
    </row>
    <row r="54" spans="1:13" x14ac:dyDescent="0.25">
      <c r="A54" s="65">
        <v>14494</v>
      </c>
      <c r="B54" s="65" t="s">
        <v>132</v>
      </c>
      <c r="C54" s="13">
        <v>4</v>
      </c>
      <c r="D54" s="13">
        <f>+COUNTIFS(BDD_SUIVI_CHANTIERS[code_insee],'PRIORISATION-1'!A54,BDD_SUIVI_CHANTIERS[type],"Dalle cabane à cartons")</f>
        <v>0</v>
      </c>
      <c r="E54" s="13">
        <f>+COUNTIFS(BDD_SUIVI_CHANTIERS[code_insee],'PRIORISATION-1'!A54,BDD_SUIVI_CHANTIERS[type],"DALLE PDR")</f>
        <v>0</v>
      </c>
      <c r="F54" s="13">
        <f>+COUNTIFS(BDD_SUIVI_CHANTIERS[code_insee],'PRIORISATION-1'!A54,BDD_SUIVI_CHANTIERS[type],"Dalle borne à verre")</f>
        <v>0</v>
      </c>
      <c r="G54" s="107" t="str">
        <f t="shared" si="0"/>
        <v>P4 - Basse</v>
      </c>
      <c r="H54" s="107" cm="1">
        <f t="array" ref="H54">INDEX($M$24:$M$27,$C54)+IFERROR(VLOOKUP(N($D54),$L$54:$M$57,2,TRUE),0)+IFERROR(VLOOKUP(N($E54),$L$39:$M$43,2,TRUE),0)+IFERROR(VLOOKUP(N($F54),$L$47:$M$50,2,TRUE),0)</f>
        <v>0</v>
      </c>
      <c r="I54" s="13">
        <f t="shared" si="1"/>
        <v>34</v>
      </c>
      <c r="L54" s="68">
        <v>0</v>
      </c>
      <c r="M54" s="68">
        <v>0</v>
      </c>
    </row>
    <row r="55" spans="1:13" x14ac:dyDescent="0.25">
      <c r="A55" s="64">
        <v>14499</v>
      </c>
      <c r="B55" s="64" t="s">
        <v>133</v>
      </c>
      <c r="C55" s="13">
        <v>4</v>
      </c>
      <c r="D55" s="13">
        <f>+COUNTIFS(BDD_SUIVI_CHANTIERS[code_insee],'PRIORISATION-1'!A55,BDD_SUIVI_CHANTIERS[type],"Dalle cabane à cartons")</f>
        <v>0</v>
      </c>
      <c r="E55" s="13">
        <f>+COUNTIFS(BDD_SUIVI_CHANTIERS[code_insee],'PRIORISATION-1'!A55,BDD_SUIVI_CHANTIERS[type],"DALLE PDR")</f>
        <v>0</v>
      </c>
      <c r="F55" s="13">
        <f>+COUNTIFS(BDD_SUIVI_CHANTIERS[code_insee],'PRIORISATION-1'!A55,BDD_SUIVI_CHANTIERS[type],"Dalle borne à verre")</f>
        <v>0</v>
      </c>
      <c r="G55" s="107" t="str">
        <f t="shared" si="0"/>
        <v>P4 - Basse</v>
      </c>
      <c r="H55" s="107" cm="1">
        <f t="array" ref="H55">INDEX($M$24:$M$27,$C55)+IFERROR(VLOOKUP(N($D55),$L$54:$M$57,2,TRUE),0)+IFERROR(VLOOKUP(N($E55),$L$39:$M$43,2,TRUE),0)+IFERROR(VLOOKUP(N($F55),$L$47:$M$50,2,TRUE),0)</f>
        <v>0</v>
      </c>
      <c r="I55" s="13">
        <f t="shared" si="1"/>
        <v>34</v>
      </c>
      <c r="L55" s="68">
        <v>1</v>
      </c>
      <c r="M55" s="68">
        <v>15</v>
      </c>
    </row>
    <row r="56" spans="1:13" x14ac:dyDescent="0.25">
      <c r="A56" s="65">
        <v>14530</v>
      </c>
      <c r="B56" s="65" t="s">
        <v>114</v>
      </c>
      <c r="C56" s="13">
        <v>4</v>
      </c>
      <c r="D56" s="13">
        <f>+COUNTIFS(BDD_SUIVI_CHANTIERS[code_insee],'PRIORISATION-1'!A56,BDD_SUIVI_CHANTIERS[type],"Dalle cabane à cartons")</f>
        <v>1</v>
      </c>
      <c r="E56" s="13">
        <f>+COUNTIFS(BDD_SUIVI_CHANTIERS[code_insee],'PRIORISATION-1'!A56,BDD_SUIVI_CHANTIERS[type],"DALLE PDR")</f>
        <v>0</v>
      </c>
      <c r="F56" s="13">
        <f>+COUNTIFS(BDD_SUIVI_CHANTIERS[code_insee],'PRIORISATION-1'!A56,BDD_SUIVI_CHANTIERS[type],"Dalle borne à verre")</f>
        <v>1</v>
      </c>
      <c r="G56" s="107" t="str">
        <f t="shared" si="0"/>
        <v>P4 - Basse</v>
      </c>
      <c r="H56" s="107" cm="1">
        <f t="array" ref="H56">INDEX($M$24:$M$27,$C56)+IFERROR(VLOOKUP(N($D56),$L$54:$M$57,2,TRUE),0)+IFERROR(VLOOKUP(N($E56),$L$39:$M$43,2,TRUE),0)+IFERROR(VLOOKUP(N($F56),$L$47:$M$50,2,TRUE),0)</f>
        <v>19</v>
      </c>
      <c r="I56" s="13">
        <f t="shared" si="1"/>
        <v>27</v>
      </c>
      <c r="L56" s="68">
        <v>2</v>
      </c>
      <c r="M56" s="68">
        <v>20</v>
      </c>
    </row>
    <row r="57" spans="1:13" x14ac:dyDescent="0.25">
      <c r="A57" s="64">
        <v>14606</v>
      </c>
      <c r="B57" s="64" t="s">
        <v>115</v>
      </c>
      <c r="C57" s="13">
        <v>4</v>
      </c>
      <c r="D57" s="13">
        <f>+COUNTIFS(BDD_SUIVI_CHANTIERS[code_insee],'PRIORISATION-1'!A57,BDD_SUIVI_CHANTIERS[type],"Dalle cabane à cartons")</f>
        <v>0</v>
      </c>
      <c r="E57" s="13">
        <f>+COUNTIFS(BDD_SUIVI_CHANTIERS[code_insee],'PRIORISATION-1'!A57,BDD_SUIVI_CHANTIERS[type],"DALLE PDR")</f>
        <v>1</v>
      </c>
      <c r="F57" s="13">
        <f>+COUNTIFS(BDD_SUIVI_CHANTIERS[code_insee],'PRIORISATION-1'!A57,BDD_SUIVI_CHANTIERS[type],"Dalle borne à verre")</f>
        <v>0</v>
      </c>
      <c r="G57" s="107" t="str">
        <f t="shared" si="0"/>
        <v>P4 - Basse</v>
      </c>
      <c r="H57" s="107" cm="1">
        <f t="array" ref="H57">INDEX($M$24:$M$27,$C57)+IFERROR(VLOOKUP(N($D57),$L$54:$M$57,2,TRUE),0)+IFERROR(VLOOKUP(N($E57),$L$39:$M$43,2,TRUE),0)+IFERROR(VLOOKUP(N($F57),$L$47:$M$50,2,TRUE),0)</f>
        <v>10</v>
      </c>
      <c r="I57" s="13">
        <f t="shared" si="1"/>
        <v>31</v>
      </c>
      <c r="L57" s="68">
        <v>3</v>
      </c>
      <c r="M57" s="68">
        <v>25</v>
      </c>
    </row>
    <row r="58" spans="1:13" x14ac:dyDescent="0.25">
      <c r="A58" s="65">
        <v>14657</v>
      </c>
      <c r="B58" s="65" t="s">
        <v>134</v>
      </c>
      <c r="C58" s="13">
        <v>4</v>
      </c>
      <c r="D58" s="13">
        <f>+COUNTIFS(BDD_SUIVI_CHANTIERS[code_insee],'PRIORISATION-1'!A58,BDD_SUIVI_CHANTIERS[type],"Dalle cabane à cartons")</f>
        <v>0</v>
      </c>
      <c r="E58" s="13">
        <f>+COUNTIFS(BDD_SUIVI_CHANTIERS[code_insee],'PRIORISATION-1'!A58,BDD_SUIVI_CHANTIERS[type],"DALLE PDR")</f>
        <v>0</v>
      </c>
      <c r="F58" s="13">
        <f>+COUNTIFS(BDD_SUIVI_CHANTIERS[code_insee],'PRIORISATION-1'!A58,BDD_SUIVI_CHANTIERS[type],"Dalle borne à verre")</f>
        <v>0</v>
      </c>
      <c r="G58" s="107" t="str">
        <f t="shared" si="0"/>
        <v>P4 - Basse</v>
      </c>
      <c r="H58" s="107" cm="1">
        <f t="array" ref="H58">INDEX($M$24:$M$27,$C58)+IFERROR(VLOOKUP(N($D58),$L$54:$M$57,2,TRUE),0)+IFERROR(VLOOKUP(N($E58),$L$39:$M$43,2,TRUE),0)+IFERROR(VLOOKUP(N($F58),$L$47:$M$50,2,TRUE),0)</f>
        <v>0</v>
      </c>
      <c r="I58" s="13">
        <f t="shared" si="1"/>
        <v>34</v>
      </c>
    </row>
    <row r="59" spans="1:13" x14ac:dyDescent="0.25">
      <c r="A59" s="64">
        <v>14660</v>
      </c>
      <c r="B59" s="64" t="s">
        <v>116</v>
      </c>
      <c r="C59" s="13">
        <v>4</v>
      </c>
      <c r="D59" s="13">
        <f>+COUNTIFS(BDD_SUIVI_CHANTIERS[code_insee],'PRIORISATION-1'!A59,BDD_SUIVI_CHANTIERS[type],"Dalle cabane à cartons")</f>
        <v>0</v>
      </c>
      <c r="E59" s="13">
        <f>+COUNTIFS(BDD_SUIVI_CHANTIERS[code_insee],'PRIORISATION-1'!A59,BDD_SUIVI_CHANTIERS[type],"DALLE PDR")</f>
        <v>0</v>
      </c>
      <c r="F59" s="13">
        <f>+COUNTIFS(BDD_SUIVI_CHANTIERS[code_insee],'PRIORISATION-1'!A59,BDD_SUIVI_CHANTIERS[type],"Dalle borne à verre")</f>
        <v>1</v>
      </c>
      <c r="G59" s="107" t="str">
        <f t="shared" si="0"/>
        <v>P4 - Basse</v>
      </c>
      <c r="H59" s="107" cm="1">
        <f t="array" ref="H59">INDEX($M$24:$M$27,$C59)+IFERROR(VLOOKUP(N($D59),$L$54:$M$57,2,TRUE),0)+IFERROR(VLOOKUP(N($E59),$L$39:$M$43,2,TRUE),0)+IFERROR(VLOOKUP(N($F59),$L$47:$M$50,2,TRUE),0)</f>
        <v>4</v>
      </c>
      <c r="I59" s="13">
        <f t="shared" si="1"/>
        <v>33</v>
      </c>
    </row>
    <row r="60" spans="1:13" x14ac:dyDescent="0.25">
      <c r="A60" s="64">
        <v>14698</v>
      </c>
      <c r="B60" s="64" t="s">
        <v>135</v>
      </c>
      <c r="C60" s="13">
        <v>4</v>
      </c>
      <c r="D60" s="13">
        <f>+COUNTIFS(BDD_SUIVI_CHANTIERS[code_insee],'PRIORISATION-1'!A60,BDD_SUIVI_CHANTIERS[type],"Dalle cabane à cartons")</f>
        <v>0</v>
      </c>
      <c r="E60" s="13">
        <f>+COUNTIFS(BDD_SUIVI_CHANTIERS[code_insee],'PRIORISATION-1'!A60,BDD_SUIVI_CHANTIERS[type],"DALLE PDR")</f>
        <v>0</v>
      </c>
      <c r="F60" s="13">
        <f>+COUNTIFS(BDD_SUIVI_CHANTIERS[code_insee],'PRIORISATION-1'!A60,BDD_SUIVI_CHANTIERS[type],"Dalle borne à verre")</f>
        <v>0</v>
      </c>
      <c r="G60" s="107" t="str">
        <f t="shared" si="0"/>
        <v>P4 - Basse</v>
      </c>
      <c r="H60" s="107" cm="1">
        <f t="array" ref="H60">INDEX($M$24:$M$27,$C60)+IFERROR(VLOOKUP(N($D60),$L$54:$M$57,2,TRUE),0)+IFERROR(VLOOKUP(N($E60),$L$39:$M$43,2,TRUE),0)+IFERROR(VLOOKUP(N($F60),$L$47:$M$50,2,TRUE),0)</f>
        <v>0</v>
      </c>
      <c r="I60" s="13">
        <f t="shared" si="1"/>
        <v>34</v>
      </c>
    </row>
    <row r="61" spans="1:13" x14ac:dyDescent="0.25">
      <c r="A61" s="65">
        <v>14724</v>
      </c>
      <c r="B61" s="65" t="s">
        <v>117</v>
      </c>
      <c r="C61" s="13">
        <v>1</v>
      </c>
      <c r="D61" s="13">
        <f>+COUNTIFS(BDD_SUIVI_CHANTIERS[code_insee],'PRIORISATION-1'!A61,BDD_SUIVI_CHANTIERS[type],"Dalle cabane à cartons")</f>
        <v>0</v>
      </c>
      <c r="E61" s="13">
        <f>+COUNTIFS(BDD_SUIVI_CHANTIERS[code_insee],'PRIORISATION-1'!A61,BDD_SUIVI_CHANTIERS[type],"DALLE PDR")</f>
        <v>4</v>
      </c>
      <c r="F61" s="13">
        <f>+COUNTIFS(BDD_SUIVI_CHANTIERS[code_insee],'PRIORISATION-1'!A61,BDD_SUIVI_CHANTIERS[type],"Dalle borne à verre")</f>
        <v>1</v>
      </c>
      <c r="G61" s="107" t="str">
        <f t="shared" si="0"/>
        <v>P2 - Haute</v>
      </c>
      <c r="H61" s="107" cm="1">
        <f t="array" ref="H61">INDEX($M$24:$M$27,$C61)+IFERROR(VLOOKUP(N($D61),$L$54:$M$57,2,TRUE),0)+IFERROR(VLOOKUP(N($E61),$L$39:$M$43,2,TRUE),0)+IFERROR(VLOOKUP(N($F61),$L$47:$M$50,2,TRUE),0)</f>
        <v>49</v>
      </c>
      <c r="I61" s="13">
        <f t="shared" si="1"/>
        <v>9</v>
      </c>
    </row>
    <row r="65" spans="1:6" x14ac:dyDescent="0.25">
      <c r="A65" s="106" t="s">
        <v>463</v>
      </c>
      <c r="B65" s="114" t="s">
        <v>405</v>
      </c>
      <c r="C65" s="115"/>
      <c r="D65" s="115"/>
      <c r="E65" s="115"/>
      <c r="F65" s="116"/>
    </row>
    <row r="66" spans="1:6" x14ac:dyDescent="0.25">
      <c r="A66" s="13">
        <v>1</v>
      </c>
      <c r="B66" s="13" t="str" cm="1">
        <f t="array" ref="B66">IFERROR(TRANSPOSE(_xlfn._xlws.FILTER($B$24:$B$61,$I$24:$I$61=$A66)),"")</f>
        <v>Cabourg</v>
      </c>
      <c r="C66" s="13"/>
      <c r="D66" s="13"/>
      <c r="E66" s="13"/>
      <c r="F66" s="13"/>
    </row>
    <row r="67" spans="1:6" x14ac:dyDescent="0.25">
      <c r="A67" s="13">
        <v>2</v>
      </c>
      <c r="B67" s="13" t="str" cm="1">
        <f t="array" ref="B67">IFERROR(TRANSPOSE(_xlfn._xlws.FILTER($B$24:$B$61,$I$24:$I$61=$A67)),"")</f>
        <v>Houlgate</v>
      </c>
      <c r="C67" s="13"/>
      <c r="D67" s="13"/>
      <c r="E67" s="13"/>
      <c r="F67" s="13"/>
    </row>
    <row r="68" spans="1:6" x14ac:dyDescent="0.25">
      <c r="A68" s="13">
        <v>3</v>
      </c>
      <c r="B68" s="13" t="str" cm="1">
        <f t="array" ref="B68">IFERROR(TRANSPOSE(_xlfn._xlws.FILTER($B$24:$B$61,$I$24:$I$61=$A68)),"")</f>
        <v>Grangues</v>
      </c>
      <c r="C68" s="13"/>
      <c r="D68" s="13"/>
      <c r="E68" s="13"/>
      <c r="F68" s="13"/>
    </row>
    <row r="69" spans="1:6" x14ac:dyDescent="0.25">
      <c r="A69" s="13">
        <v>4</v>
      </c>
      <c r="B69" s="13" t="str" cm="1">
        <f t="array" ref="B69">IFERROR(TRANSPOSE(_xlfn._xlws.FILTER($B$24:$B$61,$I$24:$I$61=$A69)),"")</f>
        <v>Victot-en-Auge</v>
      </c>
      <c r="C69" s="13"/>
      <c r="D69" s="13"/>
      <c r="E69" s="13"/>
      <c r="F69" s="13"/>
    </row>
    <row r="70" spans="1:6" x14ac:dyDescent="0.25">
      <c r="A70" s="13">
        <v>5</v>
      </c>
      <c r="B70" s="13" t="str" cm="1">
        <f t="array" ref="B70">IFERROR(TRANSPOSE(_xlfn._xlws.FILTER($B$24:$B$61,$I$24:$I$61=$A70)),"")</f>
        <v>Gonneville-sur-Mer</v>
      </c>
      <c r="C70" s="13"/>
      <c r="D70" s="13"/>
      <c r="E70" s="13"/>
      <c r="F70" s="13"/>
    </row>
    <row r="71" spans="1:6" x14ac:dyDescent="0.25">
      <c r="A71" s="13">
        <v>6</v>
      </c>
      <c r="B71" s="13" t="str" cm="1">
        <f t="array" ref="B71">IFERROR(TRANSPOSE(_xlfn._xlws.FILTER($B$24:$B$61,$I$24:$I$61=$A71)),"")</f>
        <v>Dozulé</v>
      </c>
      <c r="C71" s="13"/>
      <c r="D71" s="13"/>
      <c r="E71" s="13"/>
      <c r="F71" s="13"/>
    </row>
    <row r="72" spans="1:6" x14ac:dyDescent="0.25">
      <c r="A72" s="13">
        <v>7</v>
      </c>
      <c r="B72" s="13" t="str" cm="1">
        <f t="array" ref="B72">IFERROR(TRANSPOSE(_xlfn._xlws.FILTER($B$24:$B$61,$I$24:$I$61=$A72)),"")</f>
        <v>Dives-sur-Mer</v>
      </c>
      <c r="C72" s="13"/>
      <c r="D72" s="13"/>
      <c r="E72" s="13"/>
      <c r="F72" s="13"/>
    </row>
    <row r="73" spans="1:6" x14ac:dyDescent="0.25">
      <c r="A73" s="13">
        <v>8</v>
      </c>
      <c r="B73" s="13" t="str" cm="1">
        <f t="array" ref="B73">IFERROR(TRANSPOSE(_xlfn._xlws.FILTER($B$24:$B$61,$I$24:$I$61=$A73)),"")</f>
        <v>Gonneville-en-Auge</v>
      </c>
      <c r="C73" s="13"/>
      <c r="D73" s="13"/>
      <c r="E73" s="13"/>
      <c r="F73" s="13"/>
    </row>
    <row r="74" spans="1:6" x14ac:dyDescent="0.25">
      <c r="A74" s="13">
        <v>9</v>
      </c>
      <c r="B74" s="13" t="str" cm="1">
        <f t="array" ref="B74:C74">IFERROR(TRANSPOSE(_xlfn._xlws.FILTER($B$24:$B$61,$I$24:$I$61=$A74)),"")</f>
        <v>Sallenelles</v>
      </c>
      <c r="C74" s="13" t="str">
        <v>Varaville</v>
      </c>
      <c r="D74" s="13"/>
      <c r="E74" s="13"/>
      <c r="F74" s="13"/>
    </row>
    <row r="75" spans="1:6" x14ac:dyDescent="0.25">
      <c r="A75" s="13">
        <v>10</v>
      </c>
      <c r="B75" s="13" t="str" cm="1">
        <f t="array" ref="B75">IFERROR(TRANSPOSE(_xlfn._xlws.FILTER($B$24:$B$61,$I$24:$I$61=$A75)),"")</f>
        <v/>
      </c>
      <c r="C75" s="13"/>
      <c r="D75" s="13"/>
      <c r="E75" s="13"/>
      <c r="F75" s="13"/>
    </row>
    <row r="76" spans="1:6" x14ac:dyDescent="0.25">
      <c r="A76" s="13">
        <v>11</v>
      </c>
      <c r="B76" s="13" t="str" cm="1">
        <f t="array" ref="B76">IFERROR(TRANSPOSE(_xlfn._xlws.FILTER($B$24:$B$61,$I$24:$I$61=$A76)),"")</f>
        <v>Merville-Franceville-Plage</v>
      </c>
      <c r="C76" s="13"/>
      <c r="D76" s="13"/>
      <c r="E76" s="13"/>
      <c r="F76" s="13"/>
    </row>
    <row r="77" spans="1:6" x14ac:dyDescent="0.25">
      <c r="A77" s="13">
        <v>12</v>
      </c>
      <c r="B77" s="13" t="str" cm="1">
        <f t="array" ref="B77:C77">IFERROR(TRANSPOSE(_xlfn._xlws.FILTER($B$24:$B$61,$I$24:$I$61=$A77)),"")</f>
        <v>Angerville</v>
      </c>
      <c r="C77" s="13" t="str">
        <v>Cricqueville-en-Auge</v>
      </c>
      <c r="D77" s="13"/>
      <c r="E77" s="13"/>
      <c r="F77" s="13"/>
    </row>
    <row r="78" spans="1:6" x14ac:dyDescent="0.25">
      <c r="A78" s="13">
        <v>13</v>
      </c>
      <c r="B78" s="13" t="str" cm="1">
        <f t="array" ref="B78">IFERROR(TRANSPOSE(_xlfn._xlws.FILTER($B$24:$B$61,$I$24:$I$61=$A78)),"")</f>
        <v/>
      </c>
      <c r="C78" s="13"/>
      <c r="D78" s="13"/>
      <c r="E78" s="13"/>
      <c r="F78" s="13"/>
    </row>
    <row r="79" spans="1:6" x14ac:dyDescent="0.25">
      <c r="A79" s="13">
        <v>14</v>
      </c>
      <c r="B79" s="13" t="str" cm="1">
        <f t="array" ref="B79">IFERROR(TRANSPOSE(_xlfn._xlws.FILTER($B$24:$B$61,$I$24:$I$61=$A79)),"")</f>
        <v>Rumesnil</v>
      </c>
      <c r="C79" s="13"/>
      <c r="D79" s="13"/>
      <c r="E79" s="13"/>
      <c r="F79" s="13"/>
    </row>
    <row r="80" spans="1:6" x14ac:dyDescent="0.25">
      <c r="A80" s="13">
        <v>15</v>
      </c>
      <c r="B80" s="13" t="str" cm="1">
        <f t="array" ref="B80:C80">IFERROR(TRANSPOSE(_xlfn._xlws.FILTER($B$24:$B$61,$I$24:$I$61=$A80)),"")</f>
        <v>Beuvron-en-Auge</v>
      </c>
      <c r="C80" s="13" t="str">
        <v>Saint-Jouin</v>
      </c>
      <c r="D80" s="13"/>
      <c r="E80" s="13"/>
      <c r="F80" s="13"/>
    </row>
    <row r="81" spans="1:6" x14ac:dyDescent="0.25">
      <c r="A81" s="13">
        <v>16</v>
      </c>
      <c r="B81" s="13" t="str" cm="1">
        <f t="array" ref="B81">IFERROR(TRANSPOSE(_xlfn._xlws.FILTER($B$24:$B$61,$I$24:$I$61=$A81)),"")</f>
        <v/>
      </c>
      <c r="C81" s="13"/>
      <c r="D81" s="13"/>
      <c r="E81" s="13"/>
      <c r="F81" s="13"/>
    </row>
    <row r="82" spans="1:6" x14ac:dyDescent="0.25">
      <c r="A82" s="13">
        <v>17</v>
      </c>
      <c r="B82" s="13" t="str" cm="1">
        <f t="array" ref="B82">IFERROR(TRANSPOSE(_xlfn._xlws.FILTER($B$24:$B$61,$I$24:$I$61=$A82)),"")</f>
        <v>Douville-en-Auge</v>
      </c>
      <c r="C82" s="13"/>
      <c r="D82" s="13"/>
      <c r="E82" s="13"/>
      <c r="F82" s="13"/>
    </row>
    <row r="83" spans="1:6" x14ac:dyDescent="0.25">
      <c r="A83" s="13">
        <v>18</v>
      </c>
      <c r="B83" s="13" t="str" cm="1">
        <f t="array" ref="B83">IFERROR(TRANSPOSE(_xlfn._xlws.FILTER($B$24:$B$61,$I$24:$I$61=$A83)),"")</f>
        <v>Beaufour-Druval</v>
      </c>
      <c r="C83" s="13"/>
      <c r="D83" s="13"/>
      <c r="E83" s="13"/>
      <c r="F83" s="13"/>
    </row>
    <row r="84" spans="1:6" x14ac:dyDescent="0.25">
      <c r="A84" s="13">
        <v>19</v>
      </c>
      <c r="B84" s="13" t="str" cm="1">
        <f t="array" ref="B84">IFERROR(TRANSPOSE(_xlfn._xlws.FILTER($B$24:$B$61,$I$24:$I$61=$A84)),"")</f>
        <v>Cresseveuille</v>
      </c>
      <c r="C84" s="13"/>
      <c r="D84" s="13"/>
      <c r="E84" s="13"/>
      <c r="F84" s="13"/>
    </row>
    <row r="85" spans="1:6" x14ac:dyDescent="0.25">
      <c r="A85" s="13">
        <v>20</v>
      </c>
      <c r="B85" s="13" t="str" cm="1">
        <f t="array" ref="B85">IFERROR(TRANSPOSE(_xlfn._xlws.FILTER($B$24:$B$61,$I$24:$I$61=$A85)),"")</f>
        <v>Amfreville</v>
      </c>
      <c r="C85" s="13"/>
      <c r="D85" s="13"/>
      <c r="E85" s="13"/>
      <c r="F85" s="13"/>
    </row>
    <row r="86" spans="1:6" x14ac:dyDescent="0.25">
      <c r="A86" s="13">
        <v>21</v>
      </c>
      <c r="B86" s="13" t="str" cm="1">
        <f t="array" ref="B86:C86">IFERROR(TRANSPOSE(_xlfn._xlws.FILTER($B$24:$B$61,$I$24:$I$61=$A86)),"")</f>
        <v>Hotot-en-Auge</v>
      </c>
      <c r="C86" s="13" t="str">
        <v>Goustranville</v>
      </c>
      <c r="D86" s="13"/>
      <c r="E86" s="13"/>
      <c r="F86" s="13"/>
    </row>
    <row r="87" spans="1:6" x14ac:dyDescent="0.25">
      <c r="A87" s="13">
        <v>22</v>
      </c>
      <c r="B87" s="13" t="str" cm="1">
        <f t="array" ref="B87">IFERROR(TRANSPOSE(_xlfn._xlws.FILTER($B$24:$B$61,$I$24:$I$61=$A87)),"")</f>
        <v/>
      </c>
      <c r="C87" s="13"/>
      <c r="D87" s="13"/>
      <c r="E87" s="13"/>
      <c r="F87" s="13"/>
    </row>
    <row r="88" spans="1:6" x14ac:dyDescent="0.25">
      <c r="A88" s="13">
        <v>23</v>
      </c>
      <c r="B88" s="13" t="str" cm="1">
        <f t="array" ref="B88">IFERROR(TRANSPOSE(_xlfn._xlws.FILTER($B$24:$B$61,$I$24:$I$61=$A88)),"")</f>
        <v>Brucourt</v>
      </c>
      <c r="C88" s="13"/>
      <c r="D88" s="13"/>
      <c r="E88" s="13"/>
      <c r="F88" s="13"/>
    </row>
    <row r="89" spans="1:6" x14ac:dyDescent="0.25">
      <c r="A89" s="13">
        <v>24</v>
      </c>
      <c r="B89" s="13" t="str" cm="1">
        <f t="array" ref="B89">IFERROR(TRANSPOSE(_xlfn._xlws.FILTER($B$24:$B$61,$I$24:$I$61=$A89)),"")</f>
        <v>Bavent</v>
      </c>
      <c r="C89" s="13"/>
      <c r="D89" s="13"/>
      <c r="E89" s="13"/>
      <c r="F89" s="13"/>
    </row>
    <row r="90" spans="1:6" x14ac:dyDescent="0.25">
      <c r="A90" s="13">
        <v>25</v>
      </c>
      <c r="B90" s="13" t="str" cm="1">
        <f t="array" ref="B90:C90">IFERROR(TRANSPOSE(_xlfn._xlws.FILTER($B$24:$B$61,$I$24:$I$61=$A90)),"")</f>
        <v>Basseneville</v>
      </c>
      <c r="C90" s="13" t="str">
        <v>Putot-en-Auge</v>
      </c>
      <c r="D90" s="13"/>
      <c r="E90" s="13"/>
      <c r="F90" s="13"/>
    </row>
    <row r="91" spans="1:6" x14ac:dyDescent="0.25">
      <c r="A91" s="13">
        <v>26</v>
      </c>
      <c r="B91" s="13" t="str" cm="1">
        <f t="array" ref="B91">IFERROR(TRANSPOSE(_xlfn._xlws.FILTER($B$24:$B$61,$I$24:$I$61=$A91)),"")</f>
        <v/>
      </c>
      <c r="C91" s="13"/>
      <c r="D91" s="13"/>
      <c r="E91" s="13"/>
      <c r="F91" s="13"/>
    </row>
    <row r="92" spans="1:6" x14ac:dyDescent="0.25">
      <c r="A92" s="13">
        <v>27</v>
      </c>
      <c r="B92" s="13" t="str" cm="1">
        <f t="array" ref="B92">IFERROR(TRANSPOSE(_xlfn._xlws.FILTER($B$24:$B$61,$I$24:$I$61=$A92)),"")</f>
        <v>Ranville</v>
      </c>
      <c r="C92" s="13"/>
      <c r="D92" s="13"/>
      <c r="E92" s="13"/>
      <c r="F92" s="13"/>
    </row>
    <row r="93" spans="1:6" x14ac:dyDescent="0.25">
      <c r="A93" s="13">
        <v>28</v>
      </c>
      <c r="B93" s="13" t="str" cm="1">
        <f t="array" ref="B93">IFERROR(TRANSPOSE(_xlfn._xlws.FILTER($B$24:$B$61,$I$24:$I$61=$A93)),"")</f>
        <v>Escoville</v>
      </c>
      <c r="C93" s="13"/>
      <c r="D93" s="13"/>
      <c r="E93" s="13"/>
      <c r="F93" s="13"/>
    </row>
    <row r="94" spans="1:6" x14ac:dyDescent="0.25">
      <c r="A94" s="13">
        <v>29</v>
      </c>
      <c r="B94" s="13" t="str" cm="1">
        <f t="array" ref="B94:C94">IFERROR(TRANSPOSE(_xlfn._xlws.FILTER($B$24:$B$61,$I$24:$I$61=$A94)),"")</f>
        <v>Auberville</v>
      </c>
      <c r="C94" s="13" t="str">
        <v>Bréville-les-Monts</v>
      </c>
      <c r="D94" s="13"/>
      <c r="E94" s="13"/>
      <c r="F94" s="13"/>
    </row>
    <row r="95" spans="1:6" x14ac:dyDescent="0.25">
      <c r="A95" s="13">
        <v>30</v>
      </c>
      <c r="B95" s="13" t="str" cm="1">
        <f t="array" ref="B95">IFERROR(TRANSPOSE(_xlfn._xlws.FILTER($B$24:$B$61,$I$24:$I$61=$A95)),"")</f>
        <v/>
      </c>
      <c r="C95" s="13"/>
      <c r="D95" s="13"/>
      <c r="E95" s="13"/>
      <c r="F95" s="13"/>
    </row>
    <row r="96" spans="1:6" x14ac:dyDescent="0.25">
      <c r="A96" s="13">
        <v>31</v>
      </c>
      <c r="B96" s="13" t="str" cm="1">
        <f t="array" ref="B96:C96">IFERROR(TRANSPOSE(_xlfn._xlws.FILTER($B$24:$B$61,$I$24:$I$61=$A96)),"")</f>
        <v>Heuland</v>
      </c>
      <c r="C96" s="13" t="str">
        <v>Saint-Léger-Dubosq</v>
      </c>
      <c r="D96" s="13"/>
      <c r="E96" s="13"/>
      <c r="F96" s="13"/>
    </row>
    <row r="97" spans="1:6" x14ac:dyDescent="0.25">
      <c r="A97" s="13">
        <v>32</v>
      </c>
      <c r="B97" s="13" t="str" cm="1">
        <f t="array" ref="B97">IFERROR(TRANSPOSE(_xlfn._xlws.FILTER($B$24:$B$61,$I$24:$I$61=$A97)),"")</f>
        <v/>
      </c>
      <c r="C97" s="13"/>
      <c r="D97" s="13"/>
      <c r="E97" s="13"/>
      <c r="F97" s="13"/>
    </row>
    <row r="98" spans="1:6" x14ac:dyDescent="0.25">
      <c r="A98" s="13">
        <v>33</v>
      </c>
      <c r="B98" s="13" t="str" cm="1">
        <f t="array" ref="B98">IFERROR(TRANSPOSE(_xlfn._xlws.FILTER($B$24:$B$61,$I$24:$I$61=$A98)),"")</f>
        <v>Saint-Vaast-en-Auge</v>
      </c>
      <c r="C98" s="13"/>
      <c r="D98" s="13"/>
      <c r="E98" s="13"/>
      <c r="F98" s="13"/>
    </row>
    <row r="99" spans="1:6" x14ac:dyDescent="0.25">
      <c r="A99" s="13">
        <v>34</v>
      </c>
      <c r="B99" s="13" t="str" cm="1">
        <f t="array" ref="B99:F99">IFERROR(TRANSPOSE(_xlfn._xlws.FILTER($B$24:$B$61,$I$24:$I$61=$A99)),"")</f>
        <v>Hérouvillette</v>
      </c>
      <c r="C99" s="13" t="str">
        <v>Périers-en-Auge</v>
      </c>
      <c r="D99" s="13" t="str">
        <v>Petiville</v>
      </c>
      <c r="E99" s="13" t="str">
        <v>Saint-Samson</v>
      </c>
      <c r="F99" s="13" t="str">
        <v>Touffréville</v>
      </c>
    </row>
    <row r="100" spans="1:6" x14ac:dyDescent="0.25">
      <c r="A100" s="13">
        <v>35</v>
      </c>
      <c r="B100" s="13" t="str" cm="1">
        <f t="array" ref="B100">IFERROR(TRANSPOSE(_xlfn._xlws.FILTER($B$24:$B$61,$I$24:$I$61=$A100)),"")</f>
        <v/>
      </c>
      <c r="C100" s="13"/>
      <c r="D100" s="13"/>
      <c r="E100" s="13"/>
      <c r="F100" s="13"/>
    </row>
    <row r="101" spans="1:6" x14ac:dyDescent="0.25">
      <c r="A101">
        <v>36</v>
      </c>
      <c r="B101" t="str" cm="1">
        <f t="array" ref="B101">IFERROR(TRANSPOSE(_xlfn._xlws.FILTER($B$24:$B$61,$I$24:$I$61=$A101)),"")</f>
        <v/>
      </c>
    </row>
    <row r="102" spans="1:6" x14ac:dyDescent="0.25">
      <c r="A102">
        <v>37</v>
      </c>
      <c r="B102" t="str" cm="1">
        <f t="array" ref="B102">IFERROR(TRANSPOSE(_xlfn._xlws.FILTER($B$24:$B$61,$I$24:$I$61=$A102)),"")</f>
        <v/>
      </c>
    </row>
    <row r="103" spans="1:6" x14ac:dyDescent="0.25">
      <c r="A103">
        <v>38</v>
      </c>
      <c r="B103" t="str" cm="1">
        <f t="array" ref="B103">IFERROR(TRANSPOSE(_xlfn._xlws.FILTER($B$24:$B$61,$I$24:$I$61=$A103)),"")</f>
        <v/>
      </c>
    </row>
    <row r="109" spans="1:6" ht="15.75" x14ac:dyDescent="0.25">
      <c r="B109" s="110"/>
    </row>
    <row r="259" spans="2:3" x14ac:dyDescent="0.25">
      <c r="B259" s="109"/>
      <c r="C259" s="109"/>
    </row>
    <row r="260" spans="2:3" x14ac:dyDescent="0.25">
      <c r="B260" s="109"/>
      <c r="C260" s="109"/>
    </row>
  </sheetData>
  <autoFilter ref="A23:I61" xr:uid="{CA50D400-A652-4AD7-A65F-0E9FF29CE4BB}"/>
  <mergeCells count="3">
    <mergeCell ref="B65:F65"/>
    <mergeCell ref="D22:F22"/>
    <mergeCell ref="G22:I22"/>
  </mergeCells>
  <phoneticPr fontId="52" type="noConversion"/>
  <conditionalFormatting sqref="G24:G61">
    <cfRule type="containsText" dxfId="14" priority="1" operator="containsText" text="P1 - Critique">
      <formula>NOT(ISERROR(SEARCH("P1 - Critique",G24)))</formula>
    </cfRule>
    <cfRule type="containsText" dxfId="13" priority="2" operator="containsText" text="P2 - Haute">
      <formula>NOT(ISERROR(SEARCH("P2 - Haute",G24)))</formula>
    </cfRule>
    <cfRule type="containsText" dxfId="12" priority="3" operator="containsText" text="P3 - Moyenne">
      <formula>NOT(ISERROR(SEARCH("P3 - Moyenne",G24)))</formula>
    </cfRule>
    <cfRule type="containsText" dxfId="11" priority="4" operator="containsText" text="P4 - Basse">
      <formula>NOT(ISERROR(SEARCH("P4 - Basse",G24)))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041B-22FD-4383-B83B-B62C457AB36F}">
  <dimension ref="A1:L149"/>
  <sheetViews>
    <sheetView workbookViewId="0">
      <selection activeCell="F1" sqref="F1"/>
    </sheetView>
  </sheetViews>
  <sheetFormatPr baseColWidth="10" defaultRowHeight="15" x14ac:dyDescent="0.25"/>
  <cols>
    <col min="5" max="5" width="20.85546875" customWidth="1"/>
    <col min="11" max="11" width="21.5703125" bestFit="1" customWidth="1"/>
    <col min="12" max="12" width="5.42578125" bestFit="1" customWidth="1"/>
  </cols>
  <sheetData>
    <row r="1" spans="1:12" ht="30" x14ac:dyDescent="0.25">
      <c r="A1" s="108" t="str" cm="1">
        <f t="array" ref="A1:I1">_xlfn.HSTACK("Rang chantier","Ordre commune",BDD_SUIVI_CHANTIERS[#Headers])</f>
        <v>Rang chantier</v>
      </c>
      <c r="B1" s="108" t="str">
        <v>Ordre commune</v>
      </c>
      <c r="C1" s="108" t="str">
        <v>code_insee</v>
      </c>
      <c r="D1" s="108" t="str">
        <v>commune</v>
      </c>
      <c r="E1" s="108" t="str">
        <v>type</v>
      </c>
      <c r="F1" s="108" t="str">
        <v>latitude</v>
      </c>
      <c r="G1" s="108" t="str">
        <v>longitude</v>
      </c>
      <c r="H1" s="108" t="str">
        <v>a_faire</v>
      </c>
      <c r="I1" s="108" t="str">
        <v>EXISTANT / A CRÉER</v>
      </c>
      <c r="K1" s="111" t="s">
        <v>527</v>
      </c>
      <c r="L1" s="112" t="s">
        <v>73</v>
      </c>
    </row>
    <row r="2" spans="1:12" x14ac:dyDescent="0.25">
      <c r="A2" s="109" cm="1">
        <f t="array" ref="A2:I143">_xlfn.LET(_xlpm.d,IF(BDD_SUIVI_CHANTIERS[]="","",BDD_SUIVI_CHANTIERS[]),_xlpm.o,_xlfn.XLOOKUP(BDD_SUIVI_CHANTIERS[code_insee],'PRIORISATION-1'!$A$24:$A$61,'PRIORISATION-1'!$I$24:$I$61,999),_xlpm.t,_xlfn.XLOOKUP(BDD_SUIVI_CHANTIERS[type],$K$2:$K$4,$L$2:$L$4,99),_xlpm.s,_xlfn.SORTBY(_xlfn.HSTACK(_xlpm.o,_xlpm.d),_xlpm.o,1,BDD_SUIVI_CHANTIERS[commune],1,_xlpm.t,1),_xlfn.HSTACK(_xlfn.SEQUENCE(ROWS(_xlpm.d)),_xlpm.s))</f>
        <v>1</v>
      </c>
      <c r="B2" s="109">
        <v>1</v>
      </c>
      <c r="C2">
        <v>14117</v>
      </c>
      <c r="D2" t="str">
        <v>Cabourg</v>
      </c>
      <c r="E2" t="str">
        <v>Dalle cabane à cartons</v>
      </c>
      <c r="F2" t="str">
        <v>49.28669799293465</v>
      </c>
      <c r="G2" t="str">
        <v xml:space="preserve"> -0.1120432138904809</v>
      </c>
      <c r="H2" t="str">
        <v>DALLE A FAIRE</v>
      </c>
      <c r="I2" t="str">
        <v/>
      </c>
      <c r="K2" t="s">
        <v>91</v>
      </c>
      <c r="L2" s="113">
        <v>1</v>
      </c>
    </row>
    <row r="3" spans="1:12" x14ac:dyDescent="0.25">
      <c r="A3" s="109">
        <v>2</v>
      </c>
      <c r="B3" s="109">
        <v>1</v>
      </c>
      <c r="C3">
        <v>14117</v>
      </c>
      <c r="D3" t="str">
        <v>Cabourg</v>
      </c>
      <c r="E3" t="str">
        <v>Dalle cabane à cartons</v>
      </c>
      <c r="F3" t="str">
        <v>49.282596795045436</v>
      </c>
      <c r="G3" t="str">
        <v xml:space="preserve"> -0.11971317218487827</v>
      </c>
      <c r="H3" t="str">
        <v>DALLE A FAIRE</v>
      </c>
      <c r="I3" t="str">
        <v/>
      </c>
      <c r="K3" t="s">
        <v>85</v>
      </c>
      <c r="L3" s="113">
        <v>2</v>
      </c>
    </row>
    <row r="4" spans="1:12" x14ac:dyDescent="0.25">
      <c r="A4" s="109">
        <v>3</v>
      </c>
      <c r="B4" s="109">
        <v>1</v>
      </c>
      <c r="C4">
        <v>14117</v>
      </c>
      <c r="D4" t="str">
        <v>Cabourg</v>
      </c>
      <c r="E4" t="str">
        <v>Dalle PDR</v>
      </c>
      <c r="F4" t="str">
        <v>49.2822898</v>
      </c>
      <c r="G4" t="str">
        <v xml:space="preserve"> -0.119475</v>
      </c>
      <c r="H4" t="str">
        <v>DALLE A FAIRE</v>
      </c>
      <c r="I4" t="str">
        <v>A AMÉNAGER</v>
      </c>
      <c r="K4" t="s">
        <v>87</v>
      </c>
      <c r="L4" s="113">
        <v>3</v>
      </c>
    </row>
    <row r="5" spans="1:12" x14ac:dyDescent="0.25">
      <c r="A5" s="109">
        <v>4</v>
      </c>
      <c r="B5" s="109">
        <v>1</v>
      </c>
      <c r="C5">
        <v>14117</v>
      </c>
      <c r="D5" t="str">
        <v>Cabourg</v>
      </c>
      <c r="E5" t="str">
        <v>Dalle PDR</v>
      </c>
      <c r="F5" t="str">
        <v>49.2905266</v>
      </c>
      <c r="G5" t="str">
        <v xml:space="preserve"> -0.1155201</v>
      </c>
      <c r="H5" t="str">
        <v>DALLE A FAIRE</v>
      </c>
      <c r="I5" t="str">
        <v>A AMÉNAGER</v>
      </c>
    </row>
    <row r="6" spans="1:12" x14ac:dyDescent="0.25">
      <c r="A6" s="109">
        <v>5</v>
      </c>
      <c r="B6" s="109">
        <v>1</v>
      </c>
      <c r="C6">
        <v>14117</v>
      </c>
      <c r="D6" t="str">
        <v>Cabourg</v>
      </c>
      <c r="E6" t="str">
        <v>Dalle borne à verre</v>
      </c>
      <c r="F6" t="str">
        <v>49.28938402033412</v>
      </c>
      <c r="G6" t="str">
        <v xml:space="preserve"> -0.12674304087854937</v>
      </c>
      <c r="H6" t="str">
        <v>DALLE A FAIRE</v>
      </c>
      <c r="I6" t="str">
        <v/>
      </c>
    </row>
    <row r="7" spans="1:12" x14ac:dyDescent="0.25">
      <c r="A7" s="109">
        <v>6</v>
      </c>
      <c r="B7" s="109">
        <v>1</v>
      </c>
      <c r="C7">
        <v>14117</v>
      </c>
      <c r="D7" t="str">
        <v>Cabourg</v>
      </c>
      <c r="E7" t="str">
        <v>Dalle borne à verre</v>
      </c>
      <c r="F7" t="str">
        <v>49.29424072245121</v>
      </c>
      <c r="G7" t="str">
        <v xml:space="preserve"> -0.10623969812685341</v>
      </c>
      <c r="H7" t="str">
        <v>DALLE A FAIRE</v>
      </c>
      <c r="I7" t="str">
        <v/>
      </c>
    </row>
    <row r="8" spans="1:12" x14ac:dyDescent="0.25">
      <c r="A8" s="109">
        <v>7</v>
      </c>
      <c r="B8" s="109">
        <v>1</v>
      </c>
      <c r="C8">
        <v>14117</v>
      </c>
      <c r="D8" t="str">
        <v>Cabourg</v>
      </c>
      <c r="E8" t="str">
        <v>Dalle borne à verre</v>
      </c>
      <c r="F8" t="str">
        <v>49.27806</v>
      </c>
      <c r="G8" t="str">
        <v xml:space="preserve"> -0.13368</v>
      </c>
      <c r="H8" t="str">
        <v>DALLE A FAIRE</v>
      </c>
      <c r="I8" t="str">
        <v/>
      </c>
    </row>
    <row r="9" spans="1:12" x14ac:dyDescent="0.25">
      <c r="A9" s="109">
        <v>8</v>
      </c>
      <c r="B9" s="109">
        <v>2</v>
      </c>
      <c r="C9">
        <v>14338</v>
      </c>
      <c r="D9" t="str">
        <v>Houlgate</v>
      </c>
      <c r="E9" t="str">
        <v>Dalle cabane à cartons</v>
      </c>
      <c r="F9" t="str">
        <v>49.292704990188746</v>
      </c>
      <c r="G9" t="str">
        <v xml:space="preserve"> -0.08016420280405341</v>
      </c>
      <c r="H9" t="str">
        <v>DALLE A FAIRE</v>
      </c>
      <c r="I9" t="str">
        <v/>
      </c>
    </row>
    <row r="10" spans="1:12" x14ac:dyDescent="0.25">
      <c r="A10" s="109">
        <v>9</v>
      </c>
      <c r="B10" s="109">
        <v>2</v>
      </c>
      <c r="C10">
        <v>14338</v>
      </c>
      <c r="D10" t="str">
        <v>Houlgate</v>
      </c>
      <c r="E10" t="str">
        <v>Dalle PDR</v>
      </c>
      <c r="F10" t="str">
        <v>49.2876584</v>
      </c>
      <c r="G10" t="str">
        <v xml:space="preserve"> -0.0830063</v>
      </c>
      <c r="H10" t="str">
        <v>DALLE A FAIRE</v>
      </c>
      <c r="I10" t="str">
        <v>A CRÉER</v>
      </c>
    </row>
    <row r="11" spans="1:12" x14ac:dyDescent="0.25">
      <c r="A11" s="109">
        <v>10</v>
      </c>
      <c r="B11" s="109">
        <v>2</v>
      </c>
      <c r="C11">
        <v>14338</v>
      </c>
      <c r="D11" t="str">
        <v>Houlgate</v>
      </c>
      <c r="E11" t="str">
        <v>Dalle PDR</v>
      </c>
      <c r="F11" t="str">
        <v>49.294539237574405</v>
      </c>
      <c r="G11" t="str">
        <v xml:space="preserve"> -0.07897841397117843</v>
      </c>
      <c r="H11" t="str">
        <v>DALLE A FAIRE</v>
      </c>
      <c r="I11" t="str">
        <v>A AGRANDIR</v>
      </c>
    </row>
    <row r="12" spans="1:12" x14ac:dyDescent="0.25">
      <c r="A12" s="109">
        <v>11</v>
      </c>
      <c r="B12" s="109">
        <v>2</v>
      </c>
      <c r="C12">
        <v>14338</v>
      </c>
      <c r="D12" t="str">
        <v>Houlgate</v>
      </c>
      <c r="E12" t="str">
        <v>Dalle PDR</v>
      </c>
      <c r="F12" t="str">
        <v>49.2952025</v>
      </c>
      <c r="G12" t="str">
        <v xml:space="preserve"> -0.0566013</v>
      </c>
      <c r="H12" t="str">
        <v>DALLE A FAIRE</v>
      </c>
      <c r="I12" t="str">
        <v>A AGRANDIR</v>
      </c>
    </row>
    <row r="13" spans="1:12" x14ac:dyDescent="0.25">
      <c r="A13" s="109">
        <v>12</v>
      </c>
      <c r="B13" s="109">
        <v>2</v>
      </c>
      <c r="C13">
        <v>14338</v>
      </c>
      <c r="D13" t="str">
        <v>Houlgate</v>
      </c>
      <c r="E13" t="str">
        <v>Dalle PDR</v>
      </c>
      <c r="F13" t="str">
        <v>49.29825875109513</v>
      </c>
      <c r="G13" t="str">
        <v xml:space="preserve"> -0.05468906257289417</v>
      </c>
      <c r="H13" t="str">
        <v>DALLE A FAIRE</v>
      </c>
      <c r="I13" t="str">
        <v>A AGRANDIR</v>
      </c>
    </row>
    <row r="14" spans="1:12" x14ac:dyDescent="0.25">
      <c r="A14" s="109">
        <v>13</v>
      </c>
      <c r="B14" s="109">
        <v>2</v>
      </c>
      <c r="C14">
        <v>14338</v>
      </c>
      <c r="D14" t="str">
        <v>Houlgate</v>
      </c>
      <c r="E14" t="str">
        <v>Dalle PDR</v>
      </c>
      <c r="F14" t="str">
        <v>49.29988446178953</v>
      </c>
      <c r="G14" t="str">
        <v xml:space="preserve"> -0.05982123995887206</v>
      </c>
      <c r="H14" t="str">
        <v>DALLE A FAIRE</v>
      </c>
      <c r="I14" t="str">
        <v>A AGRANDIR</v>
      </c>
    </row>
    <row r="15" spans="1:12" x14ac:dyDescent="0.25">
      <c r="A15" s="109">
        <v>14</v>
      </c>
      <c r="B15" s="109">
        <v>2</v>
      </c>
      <c r="C15">
        <v>14338</v>
      </c>
      <c r="D15" t="str">
        <v>Houlgate</v>
      </c>
      <c r="E15" t="str">
        <v>Dalle PDR</v>
      </c>
      <c r="F15" t="str">
        <v>49.302243628361495</v>
      </c>
      <c r="G15" t="str">
        <v xml:space="preserve"> -0.06986609035196993</v>
      </c>
      <c r="H15" t="str">
        <v>DALLE A FAIRE</v>
      </c>
      <c r="I15" t="str">
        <v>A CRÉER</v>
      </c>
    </row>
    <row r="16" spans="1:12" x14ac:dyDescent="0.25">
      <c r="A16" s="109">
        <v>15</v>
      </c>
      <c r="B16" s="109">
        <v>2</v>
      </c>
      <c r="C16">
        <v>14338</v>
      </c>
      <c r="D16" t="str">
        <v>Houlgate</v>
      </c>
      <c r="E16" t="str">
        <v>Dalle borne à verre</v>
      </c>
      <c r="F16" t="str">
        <v>49.29294</v>
      </c>
      <c r="G16" t="str">
        <v xml:space="preserve"> -0.04829</v>
      </c>
      <c r="H16" t="str">
        <v>DALLE A FAIRE</v>
      </c>
      <c r="I16" t="str">
        <v/>
      </c>
    </row>
    <row r="17" spans="1:9" x14ac:dyDescent="0.25">
      <c r="A17" s="109">
        <v>16</v>
      </c>
      <c r="B17" s="109">
        <v>3</v>
      </c>
      <c r="C17">
        <v>14316</v>
      </c>
      <c r="D17" t="str">
        <v>Grangues</v>
      </c>
      <c r="E17" t="str">
        <v>Dalle cabane à cartons</v>
      </c>
      <c r="F17" t="str">
        <v>49.265584155325584</v>
      </c>
      <c r="G17" t="str">
        <v xml:space="preserve"> -0.056620502222822604</v>
      </c>
      <c r="H17" t="str">
        <v>DALLE A FAIRE</v>
      </c>
      <c r="I17" t="str">
        <v/>
      </c>
    </row>
    <row r="18" spans="1:9" x14ac:dyDescent="0.25">
      <c r="A18" s="109">
        <v>17</v>
      </c>
      <c r="B18" s="109">
        <v>3</v>
      </c>
      <c r="C18">
        <v>14316</v>
      </c>
      <c r="D18" t="str">
        <v>Grangues</v>
      </c>
      <c r="E18" t="str">
        <v>Dalle PDR</v>
      </c>
      <c r="F18" t="str">
        <v>49.26612615423531</v>
      </c>
      <c r="G18" t="str">
        <v xml:space="preserve"> -0.0823053498976165</v>
      </c>
      <c r="H18" t="str">
        <v>DALLE A FAIRE</v>
      </c>
      <c r="I18" t="str">
        <v>A AGRANDIR</v>
      </c>
    </row>
    <row r="19" spans="1:9" x14ac:dyDescent="0.25">
      <c r="A19" s="109">
        <v>18</v>
      </c>
      <c r="B19" s="109">
        <v>3</v>
      </c>
      <c r="C19">
        <v>14316</v>
      </c>
      <c r="D19" t="str">
        <v>Grangues</v>
      </c>
      <c r="E19" t="str">
        <v>Dalle PDR</v>
      </c>
      <c r="F19" t="str">
        <v>49.2763151</v>
      </c>
      <c r="G19" t="str">
        <v xml:space="preserve"> -0.0654915</v>
      </c>
      <c r="H19" t="str">
        <v>DALLE A FAIRE</v>
      </c>
      <c r="I19" t="str">
        <v>A CRÉER</v>
      </c>
    </row>
    <row r="20" spans="1:9" x14ac:dyDescent="0.25">
      <c r="A20" s="109">
        <v>19</v>
      </c>
      <c r="B20" s="109">
        <v>3</v>
      </c>
      <c r="C20">
        <v>14316</v>
      </c>
      <c r="D20" t="str">
        <v>Grangues</v>
      </c>
      <c r="E20" t="str">
        <v>Dalle PDR</v>
      </c>
      <c r="F20" t="str">
        <v>49.25905843312884</v>
      </c>
      <c r="G20" t="str">
        <v xml:space="preserve"> -0.05074849461745545</v>
      </c>
      <c r="H20" t="str">
        <v>DALLE A FAIRE</v>
      </c>
      <c r="I20" t="str">
        <v>A CRÉER</v>
      </c>
    </row>
    <row r="21" spans="1:9" x14ac:dyDescent="0.25">
      <c r="A21" s="109">
        <v>20</v>
      </c>
      <c r="B21" s="109">
        <v>3</v>
      </c>
      <c r="C21">
        <v>14316</v>
      </c>
      <c r="D21" t="str">
        <v>Grangues</v>
      </c>
      <c r="E21" t="str">
        <v>Dalle PDR</v>
      </c>
      <c r="F21" t="str">
        <v>49.2592847</v>
      </c>
      <c r="G21" t="str">
        <v xml:space="preserve"> -0.0415662</v>
      </c>
      <c r="H21" t="str">
        <v>DALLE A FAIRE</v>
      </c>
      <c r="I21" t="str">
        <v>A CRÉER</v>
      </c>
    </row>
    <row r="22" spans="1:9" x14ac:dyDescent="0.25">
      <c r="A22" s="109">
        <v>21</v>
      </c>
      <c r="B22" s="109">
        <v>3</v>
      </c>
      <c r="C22">
        <v>14316</v>
      </c>
      <c r="D22" t="str">
        <v>Grangues</v>
      </c>
      <c r="E22" t="str">
        <v>Dalle PDR</v>
      </c>
      <c r="F22" t="str">
        <v>49.2659712</v>
      </c>
      <c r="G22" t="str">
        <v xml:space="preserve"> -0.0646614</v>
      </c>
      <c r="H22" t="str">
        <v>DALLE A FAIRE</v>
      </c>
      <c r="I22" t="str">
        <v>A CRÉER</v>
      </c>
    </row>
    <row r="23" spans="1:9" x14ac:dyDescent="0.25">
      <c r="A23" s="109">
        <v>22</v>
      </c>
      <c r="B23" s="109">
        <v>3</v>
      </c>
      <c r="C23">
        <v>14316</v>
      </c>
      <c r="D23" t="str">
        <v>Grangues</v>
      </c>
      <c r="E23" t="str">
        <v>Dalle PDR</v>
      </c>
      <c r="F23" t="str">
        <v>49.2724319</v>
      </c>
      <c r="G23" t="str">
        <v xml:space="preserve"> -0.0540277</v>
      </c>
      <c r="H23" t="str">
        <v>DALLE A FAIRE</v>
      </c>
      <c r="I23" t="str">
        <v>A AGRANDIR</v>
      </c>
    </row>
    <row r="24" spans="1:9" x14ac:dyDescent="0.25">
      <c r="A24" s="109">
        <v>23</v>
      </c>
      <c r="B24" s="109">
        <v>3</v>
      </c>
      <c r="C24">
        <v>14316</v>
      </c>
      <c r="D24" t="str">
        <v>Grangues</v>
      </c>
      <c r="E24" t="str">
        <v>Dalle PDR</v>
      </c>
      <c r="F24" t="str">
        <v>49.26790536510873</v>
      </c>
      <c r="G24" t="str">
        <v xml:space="preserve"> -0.05590027026478743</v>
      </c>
      <c r="H24" t="str">
        <v>DALLE A FAIRE</v>
      </c>
      <c r="I24" t="str">
        <v>A CRÉER</v>
      </c>
    </row>
    <row r="25" spans="1:9" x14ac:dyDescent="0.25">
      <c r="A25" s="109">
        <v>24</v>
      </c>
      <c r="B25" s="109">
        <v>3</v>
      </c>
      <c r="C25">
        <v>14316</v>
      </c>
      <c r="D25" t="str">
        <v>Grangues</v>
      </c>
      <c r="E25" t="str">
        <v>Dalle PDR</v>
      </c>
      <c r="F25" t="str">
        <v>49.262806168961625</v>
      </c>
      <c r="G25" t="str">
        <v xml:space="preserve"> -0.07378242105904796</v>
      </c>
      <c r="H25" t="str">
        <v>DALLE A FAIRE</v>
      </c>
      <c r="I25" t="str">
        <v>A CRÉER</v>
      </c>
    </row>
    <row r="26" spans="1:9" x14ac:dyDescent="0.25">
      <c r="A26" s="109">
        <v>25</v>
      </c>
      <c r="B26" s="109">
        <v>4</v>
      </c>
      <c r="C26">
        <v>14743</v>
      </c>
      <c r="D26" t="str">
        <v>Victot-en-Auge</v>
      </c>
      <c r="E26" t="str">
        <v>Dalle cabane à cartons</v>
      </c>
      <c r="F26" t="str">
        <v>49.17289832707203</v>
      </c>
      <c r="G26" t="str">
        <v xml:space="preserve"> -0.018312847925501575</v>
      </c>
      <c r="H26" t="str">
        <v>DALLE A FAIRE</v>
      </c>
      <c r="I26" t="str">
        <v/>
      </c>
    </row>
    <row r="27" spans="1:9" x14ac:dyDescent="0.25">
      <c r="A27" s="109">
        <v>26</v>
      </c>
      <c r="B27" s="109">
        <v>4</v>
      </c>
      <c r="C27">
        <v>14743</v>
      </c>
      <c r="D27" t="str">
        <v>Victot-en-Auge</v>
      </c>
      <c r="E27" t="str">
        <v>Dalle cabane à cartons</v>
      </c>
      <c r="F27" t="str">
        <v>49.16536420807095</v>
      </c>
      <c r="G27" t="str">
        <v xml:space="preserve"> 0.0031910194201919414</v>
      </c>
      <c r="H27" t="str">
        <v>DALLE A FAIRE</v>
      </c>
      <c r="I27" t="str">
        <v/>
      </c>
    </row>
    <row r="28" spans="1:9" x14ac:dyDescent="0.25">
      <c r="A28" s="109">
        <v>27</v>
      </c>
      <c r="B28" s="109">
        <v>4</v>
      </c>
      <c r="C28">
        <v>14743</v>
      </c>
      <c r="D28" t="str">
        <v>Victot-en-Auge</v>
      </c>
      <c r="E28" t="str">
        <v>Dalle PDR</v>
      </c>
      <c r="F28" t="str">
        <v/>
      </c>
      <c r="G28" t="str">
        <v/>
      </c>
      <c r="H28" t="str">
        <v>DALLE A FAIRE</v>
      </c>
      <c r="I28" t="str">
        <v>A AMÉNAGER</v>
      </c>
    </row>
    <row r="29" spans="1:9" x14ac:dyDescent="0.25">
      <c r="A29" s="109">
        <v>28</v>
      </c>
      <c r="B29" s="109">
        <v>4</v>
      </c>
      <c r="C29">
        <v>14743</v>
      </c>
      <c r="D29" t="str">
        <v>Victot-en-Auge</v>
      </c>
      <c r="E29" t="str">
        <v>Dalle PDR</v>
      </c>
      <c r="F29" t="str">
        <v>49.1928515263001</v>
      </c>
      <c r="G29" t="str">
        <v xml:space="preserve"> -0.0050519618974088016</v>
      </c>
      <c r="H29" t="str">
        <v>DALLE A FAIRE</v>
      </c>
      <c r="I29" t="str">
        <v>A AMÉNAGER</v>
      </c>
    </row>
    <row r="30" spans="1:9" x14ac:dyDescent="0.25">
      <c r="A30" s="109">
        <v>29</v>
      </c>
      <c r="B30" s="109">
        <v>4</v>
      </c>
      <c r="C30">
        <v>14743</v>
      </c>
      <c r="D30" t="str">
        <v>Victot-en-Auge</v>
      </c>
      <c r="E30" t="str">
        <v>Dalle PDR</v>
      </c>
      <c r="F30" t="str">
        <v>49.162830781875286</v>
      </c>
      <c r="G30" t="str">
        <v xml:space="preserve"> -0.016482885130563795</v>
      </c>
      <c r="H30" t="str">
        <v>DALLE A FAIRE</v>
      </c>
      <c r="I30" t="str">
        <v>A AMÉNAGER</v>
      </c>
    </row>
    <row r="31" spans="1:9" x14ac:dyDescent="0.25">
      <c r="A31" s="109">
        <v>30</v>
      </c>
      <c r="B31" s="109">
        <v>4</v>
      </c>
      <c r="C31">
        <v>14743</v>
      </c>
      <c r="D31" t="str">
        <v>Victot-en-Auge</v>
      </c>
      <c r="E31" t="str">
        <v>Dalle PDR</v>
      </c>
      <c r="F31" t="str">
        <v>49.16015134123915</v>
      </c>
      <c r="G31" t="str">
        <v xml:space="preserve"> -0.012098838971738815</v>
      </c>
      <c r="H31" t="str">
        <v>DALLE A FAIRE</v>
      </c>
      <c r="I31" t="str">
        <v>A AMÉNAGER</v>
      </c>
    </row>
    <row r="32" spans="1:9" x14ac:dyDescent="0.25">
      <c r="A32" s="109">
        <v>31</v>
      </c>
      <c r="B32" s="109">
        <v>4</v>
      </c>
      <c r="C32">
        <v>14743</v>
      </c>
      <c r="D32" t="str">
        <v>Victot-en-Auge</v>
      </c>
      <c r="E32" t="str">
        <v>Dalle PDR</v>
      </c>
      <c r="F32" t="str">
        <v>49.15227122363916</v>
      </c>
      <c r="G32" t="str">
        <v xml:space="preserve"> -0.006458452353706777</v>
      </c>
      <c r="H32" t="str">
        <v>DALLE A FAIRE</v>
      </c>
      <c r="I32" t="str">
        <v>A AMÉNAGER</v>
      </c>
    </row>
    <row r="33" spans="1:9" x14ac:dyDescent="0.25">
      <c r="A33" s="109">
        <v>32</v>
      </c>
      <c r="B33" s="109">
        <v>4</v>
      </c>
      <c r="C33">
        <v>14743</v>
      </c>
      <c r="D33" t="str">
        <v>Victot-en-Auge</v>
      </c>
      <c r="E33" t="str">
        <v>Dalle PDR</v>
      </c>
      <c r="F33" t="str">
        <v>49.171809356230234</v>
      </c>
      <c r="G33" t="str">
        <v xml:space="preserve"> 0.007687174804642114</v>
      </c>
      <c r="H33" t="str">
        <v>DALLE A FAIRE</v>
      </c>
      <c r="I33" t="str">
        <v>A ÉTUDIER</v>
      </c>
    </row>
    <row r="34" spans="1:9" x14ac:dyDescent="0.25">
      <c r="A34" s="109">
        <v>33</v>
      </c>
      <c r="B34" s="109">
        <v>4</v>
      </c>
      <c r="C34">
        <v>14743</v>
      </c>
      <c r="D34" t="str">
        <v>Victot-Pontfol</v>
      </c>
      <c r="E34" t="str">
        <v>Dalle borne à verre</v>
      </c>
      <c r="F34" t="str">
        <v>49.1729147854973</v>
      </c>
      <c r="G34" t="str">
        <v xml:space="preserve"> -0.018277632373220002</v>
      </c>
      <c r="H34" t="str">
        <v>DALLE A FAIRE</v>
      </c>
      <c r="I34" t="str">
        <v/>
      </c>
    </row>
    <row r="35" spans="1:9" x14ac:dyDescent="0.25">
      <c r="A35" s="109">
        <v>34</v>
      </c>
      <c r="B35" s="109">
        <v>5</v>
      </c>
      <c r="C35">
        <v>14305</v>
      </c>
      <c r="D35" t="str">
        <v>Gonneville-sur-Mer</v>
      </c>
      <c r="E35" t="str">
        <v>Dalle PDR</v>
      </c>
      <c r="F35" t="str">
        <v>49.30743072574444</v>
      </c>
      <c r="G35" t="str">
        <v xml:space="preserve"> -0.04299704903332074</v>
      </c>
      <c r="H35" t="str">
        <v>DALLE A FAIRE</v>
      </c>
      <c r="I35" t="str">
        <v>A AGRANDIR</v>
      </c>
    </row>
    <row r="36" spans="1:9" x14ac:dyDescent="0.25">
      <c r="A36" s="109">
        <v>35</v>
      </c>
      <c r="B36" s="109">
        <v>5</v>
      </c>
      <c r="C36">
        <v>14305</v>
      </c>
      <c r="D36" t="str">
        <v>Gonneville-sur-Mer</v>
      </c>
      <c r="E36" t="str">
        <v>Dalle PDR</v>
      </c>
      <c r="F36" t="str">
        <v>49.2935959</v>
      </c>
      <c r="G36" t="str">
        <v xml:space="preserve"> -0.0119519</v>
      </c>
      <c r="H36" t="str">
        <v>DALLE A FAIRE</v>
      </c>
      <c r="I36" t="str">
        <v>A AGRANDIR</v>
      </c>
    </row>
    <row r="37" spans="1:9" x14ac:dyDescent="0.25">
      <c r="A37" s="109">
        <v>36</v>
      </c>
      <c r="B37" s="109">
        <v>5</v>
      </c>
      <c r="C37">
        <v>14305</v>
      </c>
      <c r="D37" t="str">
        <v>Gonneville-sur-Mer</v>
      </c>
      <c r="E37" t="str">
        <v>Dalle PDR</v>
      </c>
      <c r="F37" t="str">
        <v>49.29288803188187</v>
      </c>
      <c r="G37" t="str">
        <v xml:space="preserve"> -0.043396015846523056</v>
      </c>
      <c r="H37" t="str">
        <v>DALLE A FAIRE</v>
      </c>
      <c r="I37" t="str">
        <v>A CRÉER</v>
      </c>
    </row>
    <row r="38" spans="1:9" x14ac:dyDescent="0.25">
      <c r="A38" s="109">
        <v>37</v>
      </c>
      <c r="B38" s="109">
        <v>5</v>
      </c>
      <c r="C38">
        <v>14305</v>
      </c>
      <c r="D38" t="str">
        <v>Gonneville-sur-Mer</v>
      </c>
      <c r="E38" t="str">
        <v>Dalle PDR</v>
      </c>
      <c r="F38" t="str">
        <v>49.2828881</v>
      </c>
      <c r="G38" t="str">
        <v xml:space="preserve"> -0.0139663</v>
      </c>
      <c r="H38" t="str">
        <v>DALLE A FAIRE</v>
      </c>
      <c r="I38" t="str">
        <v>A AGRANDIR</v>
      </c>
    </row>
    <row r="39" spans="1:9" x14ac:dyDescent="0.25">
      <c r="A39" s="109">
        <v>38</v>
      </c>
      <c r="B39" s="109">
        <v>5</v>
      </c>
      <c r="C39">
        <v>14305</v>
      </c>
      <c r="D39" t="str">
        <v>Gonneville-sur-Mer</v>
      </c>
      <c r="E39" t="str">
        <v>Dalle PDR</v>
      </c>
      <c r="F39" t="str">
        <v>49.2859596</v>
      </c>
      <c r="G39" t="str">
        <v xml:space="preserve"> -0.0412631</v>
      </c>
      <c r="H39" t="str">
        <v>DALLE A FAIRE</v>
      </c>
      <c r="I39" t="str">
        <v>A AGRANDIR</v>
      </c>
    </row>
    <row r="40" spans="1:9" x14ac:dyDescent="0.25">
      <c r="A40" s="109">
        <v>39</v>
      </c>
      <c r="B40" s="109">
        <v>5</v>
      </c>
      <c r="C40">
        <v>14305</v>
      </c>
      <c r="D40" t="str">
        <v>Gonneville-sur-Mer</v>
      </c>
      <c r="E40" t="str">
        <v>Dalle PDR</v>
      </c>
      <c r="F40" t="str">
        <v>49.2700973</v>
      </c>
      <c r="G40" t="str">
        <v xml:space="preserve"> -0.0352885</v>
      </c>
      <c r="H40" t="str">
        <v>DALLE A FAIRE</v>
      </c>
      <c r="I40" t="str">
        <v>A AGRANDIR</v>
      </c>
    </row>
    <row r="41" spans="1:9" x14ac:dyDescent="0.25">
      <c r="A41" s="109">
        <v>40</v>
      </c>
      <c r="B41" s="109">
        <v>5</v>
      </c>
      <c r="C41">
        <v>14305</v>
      </c>
      <c r="D41" t="str">
        <v>Gonneville-sur-Mer</v>
      </c>
      <c r="E41" t="str">
        <v>Dalle PDR</v>
      </c>
      <c r="F41" t="str">
        <v>49.2875088</v>
      </c>
      <c r="G41" t="str">
        <v xml:space="preserve"> -0.0424567</v>
      </c>
      <c r="H41" t="str">
        <v>DALLE A FAIRE</v>
      </c>
      <c r="I41" t="str">
        <v>A AGRANDIR</v>
      </c>
    </row>
    <row r="42" spans="1:9" x14ac:dyDescent="0.25">
      <c r="A42" s="109">
        <v>41</v>
      </c>
      <c r="B42" s="109">
        <v>5</v>
      </c>
      <c r="C42">
        <v>14305</v>
      </c>
      <c r="D42" t="str">
        <v>Gonneville-sur-Mer</v>
      </c>
      <c r="E42" t="str">
        <v>Dalle PDR</v>
      </c>
      <c r="F42" t="str">
        <v>49.296459417812216</v>
      </c>
      <c r="G42" t="str">
        <v xml:space="preserve"> -0.011719298602490874</v>
      </c>
      <c r="H42" t="str">
        <v>DALLE A FAIRE</v>
      </c>
      <c r="I42" t="str">
        <v>A AGRANDIR</v>
      </c>
    </row>
    <row r="43" spans="1:9" x14ac:dyDescent="0.25">
      <c r="A43" s="109">
        <v>42</v>
      </c>
      <c r="B43" s="109">
        <v>5</v>
      </c>
      <c r="C43">
        <v>14305</v>
      </c>
      <c r="D43" t="str">
        <v>Gonneville-sur-Mer</v>
      </c>
      <c r="E43" t="str">
        <v>Dalle PDR</v>
      </c>
      <c r="F43" t="str">
        <v>49.28131233688149</v>
      </c>
      <c r="G43" t="str">
        <v xml:space="preserve"> -0.06498531070337203</v>
      </c>
      <c r="H43" t="str">
        <v>DALLE A FAIRE</v>
      </c>
      <c r="I43" t="str">
        <v>A AGRANDIR</v>
      </c>
    </row>
    <row r="44" spans="1:9" x14ac:dyDescent="0.25">
      <c r="A44" s="109">
        <v>43</v>
      </c>
      <c r="B44" s="109">
        <v>5</v>
      </c>
      <c r="C44">
        <v>14305</v>
      </c>
      <c r="D44" t="str">
        <v>Gonneville-sur-Mer</v>
      </c>
      <c r="E44" t="str">
        <v>Dalle PDR</v>
      </c>
      <c r="F44" t="str">
        <v>49.29147352020813</v>
      </c>
      <c r="G44" t="str">
        <v xml:space="preserve"> -0.02990099672911984</v>
      </c>
      <c r="H44" t="str">
        <v>DALLE A FAIRE</v>
      </c>
      <c r="I44" t="str">
        <v>A AGRANDIR</v>
      </c>
    </row>
    <row r="45" spans="1:9" x14ac:dyDescent="0.25">
      <c r="A45" s="109">
        <v>44</v>
      </c>
      <c r="B45" s="109">
        <v>5</v>
      </c>
      <c r="C45">
        <v>14305</v>
      </c>
      <c r="D45" t="str">
        <v>Gonneville-sur-Mer</v>
      </c>
      <c r="E45" t="str">
        <v>Dalle borne à verre</v>
      </c>
      <c r="F45" t="str">
        <v>49.288664970921296</v>
      </c>
      <c r="G45" t="str">
        <v xml:space="preserve"> -0.007120671085641827</v>
      </c>
      <c r="H45" t="str">
        <v>DALLE A FAIRE</v>
      </c>
      <c r="I45" t="str">
        <v/>
      </c>
    </row>
    <row r="46" spans="1:9" x14ac:dyDescent="0.25">
      <c r="A46" s="109">
        <v>45</v>
      </c>
      <c r="B46" s="109">
        <v>5</v>
      </c>
      <c r="C46">
        <v>14305</v>
      </c>
      <c r="D46" t="str">
        <v>Gonneville-sur-Mer</v>
      </c>
      <c r="E46" t="str">
        <v>Dalle borne à verre</v>
      </c>
      <c r="F46" t="str">
        <v>49.30481322598841</v>
      </c>
      <c r="G46" t="str">
        <v xml:space="preserve"> -0.05778662669533739</v>
      </c>
      <c r="H46" t="str">
        <v>DALLE A FAIRE</v>
      </c>
      <c r="I46" t="str">
        <v/>
      </c>
    </row>
    <row r="47" spans="1:9" x14ac:dyDescent="0.25">
      <c r="A47" s="109">
        <v>46</v>
      </c>
      <c r="B47" s="109">
        <v>6</v>
      </c>
      <c r="C47">
        <v>14229</v>
      </c>
      <c r="D47" t="str">
        <v>Dozulé</v>
      </c>
      <c r="E47" t="str">
        <v>Dalle cabane à cartons</v>
      </c>
      <c r="F47" t="str">
        <v>49.22709487115593</v>
      </c>
      <c r="G47" t="str">
        <v xml:space="preserve"> -0.04823379090339059</v>
      </c>
      <c r="H47" t="str">
        <v>DALLE A FAIRE</v>
      </c>
      <c r="I47" t="str">
        <v/>
      </c>
    </row>
    <row r="48" spans="1:9" x14ac:dyDescent="0.25">
      <c r="A48" s="109">
        <v>47</v>
      </c>
      <c r="B48" s="109">
        <v>6</v>
      </c>
      <c r="C48">
        <v>14229</v>
      </c>
      <c r="D48" t="str">
        <v>Dozulé</v>
      </c>
      <c r="E48" t="str">
        <v>Dalle cabane à cartons</v>
      </c>
      <c r="F48" t="str">
        <v>49.233704768397914</v>
      </c>
      <c r="G48" t="str">
        <v xml:space="preserve"> -0.0500232074070623</v>
      </c>
      <c r="H48" t="str">
        <v>DALLE A FAIRE</v>
      </c>
      <c r="I48" t="str">
        <v/>
      </c>
    </row>
    <row r="49" spans="1:9" x14ac:dyDescent="0.25">
      <c r="A49" s="109">
        <v>48</v>
      </c>
      <c r="B49" s="109">
        <v>6</v>
      </c>
      <c r="C49">
        <v>14229</v>
      </c>
      <c r="D49" t="str">
        <v>Dozulé</v>
      </c>
      <c r="E49" t="str">
        <v>Dalle cabane à cartons</v>
      </c>
      <c r="F49" t="str">
        <v>49.23177507654163</v>
      </c>
      <c r="G49" t="str">
        <v xml:space="preserve"> -0.04427842285725417</v>
      </c>
      <c r="H49" t="str">
        <v>DALLE A FAIRE</v>
      </c>
      <c r="I49" t="str">
        <v/>
      </c>
    </row>
    <row r="50" spans="1:9" x14ac:dyDescent="0.25">
      <c r="A50" s="109">
        <v>49</v>
      </c>
      <c r="B50" s="109">
        <v>6</v>
      </c>
      <c r="C50">
        <v>14229</v>
      </c>
      <c r="D50" t="str">
        <v>Dozulé</v>
      </c>
      <c r="E50" t="str">
        <v>Dalle PDR</v>
      </c>
      <c r="F50" t="str">
        <v>49.23186249899733</v>
      </c>
      <c r="G50" t="str">
        <v xml:space="preserve"> -0.04595250406602712</v>
      </c>
      <c r="H50" t="str">
        <v>DALLE A FAIRE</v>
      </c>
      <c r="I50" t="str">
        <v>A CRÉER</v>
      </c>
    </row>
    <row r="51" spans="1:9" x14ac:dyDescent="0.25">
      <c r="A51" s="109">
        <v>50</v>
      </c>
      <c r="B51" s="109">
        <v>6</v>
      </c>
      <c r="C51">
        <v>14229</v>
      </c>
      <c r="D51" t="str">
        <v>Dozulé</v>
      </c>
      <c r="E51" t="str">
        <v>Dalle PDR</v>
      </c>
      <c r="F51" t="str">
        <v>49.22958086528844</v>
      </c>
      <c r="G51" t="str">
        <v xml:space="preserve"> -0.0444975878721113</v>
      </c>
      <c r="H51" t="str">
        <v>DALLE A FAIRE</v>
      </c>
      <c r="I51" t="str">
        <v>A CRÉER</v>
      </c>
    </row>
    <row r="52" spans="1:9" x14ac:dyDescent="0.25">
      <c r="A52" s="109">
        <v>51</v>
      </c>
      <c r="B52" s="109">
        <v>6</v>
      </c>
      <c r="C52">
        <v>14229</v>
      </c>
      <c r="D52" t="str">
        <v>Dozulé</v>
      </c>
      <c r="E52" t="str">
        <v>Dalle PDR</v>
      </c>
      <c r="F52" t="str">
        <v>49.2262862</v>
      </c>
      <c r="G52" t="str">
        <v xml:space="preserve"> -0.0363922</v>
      </c>
      <c r="H52" t="str">
        <v>DALLE A FAIRE</v>
      </c>
      <c r="I52" t="str">
        <v>A AMÉNAGER</v>
      </c>
    </row>
    <row r="53" spans="1:9" x14ac:dyDescent="0.25">
      <c r="A53" s="109">
        <v>52</v>
      </c>
      <c r="B53" s="109">
        <v>6</v>
      </c>
      <c r="C53">
        <v>14229</v>
      </c>
      <c r="D53" t="str">
        <v>Dozulé</v>
      </c>
      <c r="E53" t="str">
        <v>Dalle PDR</v>
      </c>
      <c r="F53" t="str">
        <v>49.2262862</v>
      </c>
      <c r="G53" t="str">
        <v xml:space="preserve"> -0.0363922</v>
      </c>
      <c r="H53" t="str">
        <v>DALLE A FAIRE</v>
      </c>
      <c r="I53" t="str">
        <v>A AMÉNAGER</v>
      </c>
    </row>
    <row r="54" spans="1:9" x14ac:dyDescent="0.25">
      <c r="A54" s="109">
        <v>53</v>
      </c>
      <c r="B54" s="109">
        <v>6</v>
      </c>
      <c r="C54">
        <v>14229</v>
      </c>
      <c r="D54" t="str">
        <v>Dozulé</v>
      </c>
      <c r="E54" t="str">
        <v>Dalle PDR</v>
      </c>
      <c r="F54" t="str">
        <v>49.2235272</v>
      </c>
      <c r="G54" t="str">
        <v xml:space="preserve"> -0.0429368</v>
      </c>
      <c r="H54" t="str">
        <v>DALLE A FAIRE</v>
      </c>
      <c r="I54" t="str">
        <v>A AMÉNAGER</v>
      </c>
    </row>
    <row r="55" spans="1:9" x14ac:dyDescent="0.25">
      <c r="A55" s="109">
        <v>54</v>
      </c>
      <c r="B55" s="109">
        <v>6</v>
      </c>
      <c r="C55">
        <v>14229</v>
      </c>
      <c r="D55" t="str">
        <v>Dozulé</v>
      </c>
      <c r="E55" t="str">
        <v>Dalle PDR</v>
      </c>
      <c r="F55" t="str">
        <v>49.22913127846012</v>
      </c>
      <c r="G55" t="str">
        <v xml:space="preserve"> -0.04684122951583171</v>
      </c>
      <c r="H55" t="str">
        <v>DALLE A FAIRE</v>
      </c>
      <c r="I55" t="str">
        <v>A AMÉNAGER</v>
      </c>
    </row>
    <row r="56" spans="1:9" x14ac:dyDescent="0.25">
      <c r="A56" s="109">
        <v>55</v>
      </c>
      <c r="B56" s="109">
        <v>6</v>
      </c>
      <c r="C56">
        <v>14229</v>
      </c>
      <c r="D56" t="str">
        <v>Dozulé</v>
      </c>
      <c r="E56" t="str">
        <v>Dalle PDR</v>
      </c>
      <c r="F56" t="str">
        <v>49.2281552</v>
      </c>
      <c r="G56" t="str">
        <v xml:space="preserve"> -0.0409721</v>
      </c>
      <c r="H56" t="str">
        <v>DALLE A FAIRE</v>
      </c>
      <c r="I56" t="str">
        <v>A CRÉER</v>
      </c>
    </row>
    <row r="57" spans="1:9" x14ac:dyDescent="0.25">
      <c r="A57" s="109">
        <v>56</v>
      </c>
      <c r="B57" s="109">
        <v>6</v>
      </c>
      <c r="C57">
        <v>14229</v>
      </c>
      <c r="D57" t="str">
        <v>Dozulé</v>
      </c>
      <c r="E57" t="str">
        <v>Dalle PDR</v>
      </c>
      <c r="F57" t="str">
        <v>49.230730058721775</v>
      </c>
      <c r="G57" t="str">
        <v xml:space="preserve"> -0.04459631849467809</v>
      </c>
      <c r="H57" t="str">
        <v>DALLE A FAIRE</v>
      </c>
      <c r="I57" t="str">
        <v>A CRÉER</v>
      </c>
    </row>
    <row r="58" spans="1:9" x14ac:dyDescent="0.25">
      <c r="A58" s="109">
        <v>57</v>
      </c>
      <c r="B58" s="109">
        <v>6</v>
      </c>
      <c r="C58">
        <v>14229</v>
      </c>
      <c r="D58" t="str">
        <v>Dozulé</v>
      </c>
      <c r="E58" t="str">
        <v>Dalle PDR</v>
      </c>
      <c r="F58" t="str">
        <v>49.22720999872636</v>
      </c>
      <c r="G58" t="str">
        <v xml:space="preserve"> -0.04248176650664557</v>
      </c>
      <c r="H58" t="str">
        <v>DALLE A FAIRE</v>
      </c>
      <c r="I58" t="str">
        <v>A CRÉER</v>
      </c>
    </row>
    <row r="59" spans="1:9" x14ac:dyDescent="0.25">
      <c r="A59" s="109">
        <v>58</v>
      </c>
      <c r="B59" s="109">
        <v>6</v>
      </c>
      <c r="C59">
        <v>14229</v>
      </c>
      <c r="D59" t="str">
        <v>Dozulé</v>
      </c>
      <c r="E59" t="str">
        <v>Dalle borne à verre</v>
      </c>
      <c r="F59" t="str">
        <v>49.23361966795088</v>
      </c>
      <c r="G59" t="str">
        <v xml:space="preserve"> -0.049846803803620096</v>
      </c>
      <c r="H59" t="str">
        <v>DALLE A FAIRE</v>
      </c>
      <c r="I59" t="str">
        <v/>
      </c>
    </row>
    <row r="60" spans="1:9" x14ac:dyDescent="0.25">
      <c r="A60" s="109">
        <v>59</v>
      </c>
      <c r="B60" s="109">
        <v>7</v>
      </c>
      <c r="C60">
        <v>14225</v>
      </c>
      <c r="D60" t="str">
        <v>Dives-sur-Mer</v>
      </c>
      <c r="E60" t="str">
        <v>Dalle PDR</v>
      </c>
      <c r="F60" t="str">
        <v>49.290392184518254</v>
      </c>
      <c r="G60" t="str">
        <v xml:space="preserve"> -0.10346719231758088</v>
      </c>
      <c r="H60" t="str">
        <v>DALLE A FAIRE</v>
      </c>
      <c r="I60" t="str">
        <v>A AMÉNAGER</v>
      </c>
    </row>
    <row r="61" spans="1:9" x14ac:dyDescent="0.25">
      <c r="A61" s="109">
        <v>60</v>
      </c>
      <c r="B61" s="109">
        <v>7</v>
      </c>
      <c r="C61">
        <v>14225</v>
      </c>
      <c r="D61" t="str">
        <v>Dives-sur-Mer</v>
      </c>
      <c r="E61" t="str">
        <v>Dalle PDR</v>
      </c>
      <c r="F61" t="str">
        <v>49.2824044</v>
      </c>
      <c r="G61" t="str">
        <v xml:space="preserve"> -0.0959399</v>
      </c>
      <c r="H61" t="str">
        <v>DALLE A FAIRE</v>
      </c>
      <c r="I61" t="str">
        <v>A CRÉER</v>
      </c>
    </row>
    <row r="62" spans="1:9" x14ac:dyDescent="0.25">
      <c r="A62" s="109">
        <v>61</v>
      </c>
      <c r="B62" s="109">
        <v>7</v>
      </c>
      <c r="C62">
        <v>14225</v>
      </c>
      <c r="D62" t="str">
        <v>Dives-sur-Mer</v>
      </c>
      <c r="E62" t="str">
        <v>Dalle PDR</v>
      </c>
      <c r="F62" t="str">
        <v>49.2887483</v>
      </c>
      <c r="G62" t="str">
        <v xml:space="preserve"> -0.0964549</v>
      </c>
      <c r="H62" t="str">
        <v>DALLE A FAIRE</v>
      </c>
      <c r="I62" t="str">
        <v>A CRÉER</v>
      </c>
    </row>
    <row r="63" spans="1:9" x14ac:dyDescent="0.25">
      <c r="A63" s="109">
        <v>62</v>
      </c>
      <c r="B63" s="109">
        <v>7</v>
      </c>
      <c r="C63">
        <v>14225</v>
      </c>
      <c r="D63" t="str">
        <v>Dives-sur-Mer</v>
      </c>
      <c r="E63" t="str">
        <v>Dalle borne à verre</v>
      </c>
      <c r="F63" t="str">
        <v>49.27983237332137</v>
      </c>
      <c r="G63" t="str">
        <v xml:space="preserve"> -0.09823286146899714</v>
      </c>
      <c r="H63" t="str">
        <v>DALLE A FAIRE</v>
      </c>
      <c r="I63" t="str">
        <v/>
      </c>
    </row>
    <row r="64" spans="1:9" x14ac:dyDescent="0.25">
      <c r="A64" s="109">
        <v>63</v>
      </c>
      <c r="B64" s="109">
        <v>7</v>
      </c>
      <c r="C64">
        <v>14225</v>
      </c>
      <c r="D64" t="str">
        <v>Dives-sur-Mer</v>
      </c>
      <c r="E64" t="str">
        <v>Dalle borne à verre</v>
      </c>
      <c r="F64" t="str">
        <v>49.279811853733904</v>
      </c>
      <c r="G64" t="str">
        <v xml:space="preserve"> -0.0982393971911464</v>
      </c>
      <c r="H64" t="str">
        <v>DALLE A FAIRE</v>
      </c>
      <c r="I64" t="str">
        <v/>
      </c>
    </row>
    <row r="65" spans="1:9" x14ac:dyDescent="0.25">
      <c r="A65" s="109">
        <v>64</v>
      </c>
      <c r="B65" s="109">
        <v>7</v>
      </c>
      <c r="C65">
        <v>14225</v>
      </c>
      <c r="D65" t="str">
        <v>Dives-sur-Mer</v>
      </c>
      <c r="E65" t="str">
        <v>Dalle borne à verre</v>
      </c>
      <c r="F65" t="str">
        <v>49.29308024569457</v>
      </c>
      <c r="G65" t="str">
        <v xml:space="preserve"> -0.0965996815861622</v>
      </c>
      <c r="H65" t="str">
        <v>DALLE A FAIRE</v>
      </c>
      <c r="I65" t="str">
        <v/>
      </c>
    </row>
    <row r="66" spans="1:9" x14ac:dyDescent="0.25">
      <c r="A66" s="109">
        <v>65</v>
      </c>
      <c r="B66" s="109">
        <v>7</v>
      </c>
      <c r="C66">
        <v>14225</v>
      </c>
      <c r="D66" t="str">
        <v>Dives-sur-Mer</v>
      </c>
      <c r="E66" t="str">
        <v>Dalle borne à verre</v>
      </c>
      <c r="F66" t="str">
        <v>49.28126567809827</v>
      </c>
      <c r="G66" t="str">
        <v xml:space="preserve"> -0.09237319765539634</v>
      </c>
      <c r="H66" t="str">
        <v>DALLE A FAIRE</v>
      </c>
      <c r="I66" t="str">
        <v/>
      </c>
    </row>
    <row r="67" spans="1:9" x14ac:dyDescent="0.25">
      <c r="A67" s="109">
        <v>66</v>
      </c>
      <c r="B67" s="109">
        <v>8</v>
      </c>
      <c r="C67">
        <v>14306</v>
      </c>
      <c r="D67" t="str">
        <v>Gonneville-en-Auge</v>
      </c>
      <c r="E67" t="str">
        <v>Dalle cabane à cartons</v>
      </c>
      <c r="F67" t="str">
        <v>49.26070201771357</v>
      </c>
      <c r="G67" t="str">
        <v xml:space="preserve"> -0.19127903845914065</v>
      </c>
      <c r="H67" t="str">
        <v>DALLE A FAIRE</v>
      </c>
      <c r="I67" t="str">
        <v/>
      </c>
    </row>
    <row r="68" spans="1:9" x14ac:dyDescent="0.25">
      <c r="A68" s="109">
        <v>67</v>
      </c>
      <c r="B68" s="109">
        <v>8</v>
      </c>
      <c r="C68">
        <v>14306</v>
      </c>
      <c r="D68" t="str">
        <v>Gonneville-en-Auge</v>
      </c>
      <c r="E68" t="str">
        <v>Dalle PDR</v>
      </c>
      <c r="F68" t="str">
        <v>49.2509682</v>
      </c>
      <c r="G68" t="str">
        <v xml:space="preserve"> -0.1937762</v>
      </c>
      <c r="H68" t="str">
        <v>DALLE A FAIRE</v>
      </c>
      <c r="I68" t="str">
        <v>A AGRANDIR</v>
      </c>
    </row>
    <row r="69" spans="1:9" x14ac:dyDescent="0.25">
      <c r="A69" s="109">
        <v>68</v>
      </c>
      <c r="B69" s="109">
        <v>8</v>
      </c>
      <c r="C69">
        <v>14306</v>
      </c>
      <c r="D69" t="str">
        <v>Gonneville-en-Auge</v>
      </c>
      <c r="E69" t="str">
        <v>Dalle PDR</v>
      </c>
      <c r="F69" t="str">
        <v>49.25131743180436</v>
      </c>
      <c r="G69" t="str">
        <v xml:space="preserve"> -0.18868645898233616</v>
      </c>
      <c r="H69" t="str">
        <v>DALLE A FAIRE</v>
      </c>
      <c r="I69" t="str">
        <v>A AMÉNAGER</v>
      </c>
    </row>
    <row r="70" spans="1:9" x14ac:dyDescent="0.25">
      <c r="A70" s="109">
        <v>69</v>
      </c>
      <c r="B70" s="109">
        <v>8</v>
      </c>
      <c r="C70">
        <v>14306</v>
      </c>
      <c r="D70" t="str">
        <v>Gonneville-en-Auge</v>
      </c>
      <c r="E70" t="str">
        <v>Dalle PDR</v>
      </c>
      <c r="F70" t="str">
        <v>49.259837345103605</v>
      </c>
      <c r="G70" t="str">
        <v xml:space="preserve"> -0.19400437323016223</v>
      </c>
      <c r="H70" t="str">
        <v>DALLE A FAIRE</v>
      </c>
      <c r="I70" t="str">
        <v>A AGRANDIR</v>
      </c>
    </row>
    <row r="71" spans="1:9" x14ac:dyDescent="0.25">
      <c r="A71" s="109">
        <v>70</v>
      </c>
      <c r="B71" s="109">
        <v>8</v>
      </c>
      <c r="C71">
        <v>14306</v>
      </c>
      <c r="D71" t="str">
        <v>Gonneville-en-Auge</v>
      </c>
      <c r="E71" t="str">
        <v>Dalle borne à verre</v>
      </c>
      <c r="F71" t="str">
        <v>49.25043545923873</v>
      </c>
      <c r="G71" t="str">
        <v xml:space="preserve"> -0.1897554517365692</v>
      </c>
      <c r="H71" t="str">
        <v>DALLE A FAIRE</v>
      </c>
      <c r="I71" t="str">
        <v/>
      </c>
    </row>
    <row r="72" spans="1:9" x14ac:dyDescent="0.25">
      <c r="A72" s="109">
        <v>71</v>
      </c>
      <c r="B72" s="109">
        <v>9</v>
      </c>
      <c r="C72">
        <v>14665</v>
      </c>
      <c r="D72" t="str">
        <v>Sallenelles</v>
      </c>
      <c r="E72" t="str">
        <v>Dalle cabane à cartons</v>
      </c>
      <c r="F72" t="str">
        <v>49.264999149825904</v>
      </c>
      <c r="G72" t="str">
        <v xml:space="preserve"> -0.22614302048322546</v>
      </c>
      <c r="H72" t="str">
        <v>DALLE A FAIRE</v>
      </c>
      <c r="I72" t="str">
        <v/>
      </c>
    </row>
    <row r="73" spans="1:9" x14ac:dyDescent="0.25">
      <c r="A73" s="109">
        <v>72</v>
      </c>
      <c r="B73" s="109">
        <v>9</v>
      </c>
      <c r="C73">
        <v>14665</v>
      </c>
      <c r="D73" t="str">
        <v>Sallenelles</v>
      </c>
      <c r="E73" t="str">
        <v>Dalle PDR</v>
      </c>
      <c r="F73" t="str">
        <v>49.26458402507549</v>
      </c>
      <c r="G73" t="str">
        <v xml:space="preserve"> -0.22684179451805833</v>
      </c>
      <c r="H73" t="str">
        <v>DALLE A FAIRE</v>
      </c>
      <c r="I73" t="str">
        <v>A AMÉNAGER</v>
      </c>
    </row>
    <row r="74" spans="1:9" x14ac:dyDescent="0.25">
      <c r="A74" s="109">
        <v>73</v>
      </c>
      <c r="B74" s="109">
        <v>9</v>
      </c>
      <c r="C74">
        <v>14665</v>
      </c>
      <c r="D74" t="str">
        <v>Sallenelles</v>
      </c>
      <c r="E74" t="str">
        <v>Dalle PDR</v>
      </c>
      <c r="F74" t="str">
        <v>49.2629037</v>
      </c>
      <c r="G74" t="str">
        <v xml:space="preserve"> -0.2301751</v>
      </c>
      <c r="H74" t="str">
        <v>DALLE A FAIRE</v>
      </c>
      <c r="I74" t="str">
        <v>A CRÉER</v>
      </c>
    </row>
    <row r="75" spans="1:9" x14ac:dyDescent="0.25">
      <c r="A75" s="109">
        <v>74</v>
      </c>
      <c r="B75" s="109">
        <v>9</v>
      </c>
      <c r="C75">
        <v>14665</v>
      </c>
      <c r="D75" t="str">
        <v>Sallenelles</v>
      </c>
      <c r="E75" t="str">
        <v>Dalle borne à verre</v>
      </c>
      <c r="F75" t="str">
        <v>49.265003975081655</v>
      </c>
      <c r="G75" t="str">
        <v xml:space="preserve"> -0.22611067614236424</v>
      </c>
      <c r="H75" t="str">
        <v>DALLE A FAIRE</v>
      </c>
      <c r="I75" t="str">
        <v/>
      </c>
    </row>
    <row r="76" spans="1:9" x14ac:dyDescent="0.25">
      <c r="A76" s="109">
        <v>75</v>
      </c>
      <c r="B76" s="109">
        <v>9</v>
      </c>
      <c r="C76">
        <v>14724</v>
      </c>
      <c r="D76" t="str">
        <v>Varaville</v>
      </c>
      <c r="E76" t="str">
        <v>Dalle PDR</v>
      </c>
      <c r="F76" t="str">
        <v>49.2840753</v>
      </c>
      <c r="G76" t="str">
        <v xml:space="preserve"> -0.1552194</v>
      </c>
      <c r="H76" t="str">
        <v>DALLE A FAIRE</v>
      </c>
      <c r="I76" t="str">
        <v>A AGRANDIR</v>
      </c>
    </row>
    <row r="77" spans="1:9" x14ac:dyDescent="0.25">
      <c r="A77" s="109">
        <v>76</v>
      </c>
      <c r="B77" s="109">
        <v>9</v>
      </c>
      <c r="C77">
        <v>14724</v>
      </c>
      <c r="D77" t="str">
        <v>Varaville</v>
      </c>
      <c r="E77" t="str">
        <v>Dalle PDR</v>
      </c>
      <c r="F77" t="str">
        <v>49.25556363891102</v>
      </c>
      <c r="G77" t="str">
        <v xml:space="preserve"> -0.13342002261110422</v>
      </c>
      <c r="H77" t="str">
        <v>DALLE A FAIRE</v>
      </c>
      <c r="I77" t="str">
        <v>A CRÉER</v>
      </c>
    </row>
    <row r="78" spans="1:9" x14ac:dyDescent="0.25">
      <c r="A78" s="109">
        <v>77</v>
      </c>
      <c r="B78" s="109">
        <v>9</v>
      </c>
      <c r="C78">
        <v>14724</v>
      </c>
      <c r="D78" t="str">
        <v>Varaville</v>
      </c>
      <c r="E78" t="str">
        <v>Dalle PDR</v>
      </c>
      <c r="F78" t="str">
        <v>49.2547524</v>
      </c>
      <c r="G78" t="str">
        <v xml:space="preserve"> -0.1512149</v>
      </c>
      <c r="H78" t="str">
        <v>DALLE A FAIRE</v>
      </c>
      <c r="I78" t="str">
        <v>A CRÉER</v>
      </c>
    </row>
    <row r="79" spans="1:9" x14ac:dyDescent="0.25">
      <c r="A79" s="109">
        <v>78</v>
      </c>
      <c r="B79" s="109">
        <v>9</v>
      </c>
      <c r="C79">
        <v>14724</v>
      </c>
      <c r="D79" t="str">
        <v>Varaville</v>
      </c>
      <c r="E79" t="str">
        <v>Dalle PDR</v>
      </c>
      <c r="F79" t="str">
        <v>49.2833384235042</v>
      </c>
      <c r="G79" t="str">
        <v xml:space="preserve"> -0.1689880342290415</v>
      </c>
      <c r="H79" t="str">
        <v>DALLE A FAIRE</v>
      </c>
      <c r="I79" t="str">
        <v>A CRÉER</v>
      </c>
    </row>
    <row r="80" spans="1:9" x14ac:dyDescent="0.25">
      <c r="A80" s="109">
        <v>79</v>
      </c>
      <c r="B80" s="109">
        <v>9</v>
      </c>
      <c r="C80">
        <v>14724</v>
      </c>
      <c r="D80" t="str">
        <v>Varaville</v>
      </c>
      <c r="E80" t="str">
        <v>Dalle borne à verre</v>
      </c>
      <c r="F80" t="str">
        <v>49.28466583871749</v>
      </c>
      <c r="G80" t="str">
        <v xml:space="preserve"> -0.1580206465866003</v>
      </c>
      <c r="H80" t="str">
        <v>DALLE A FAIRE</v>
      </c>
      <c r="I80" t="str">
        <v/>
      </c>
    </row>
    <row r="81" spans="1:9" x14ac:dyDescent="0.25">
      <c r="A81" s="109">
        <v>80</v>
      </c>
      <c r="B81" s="109">
        <v>11</v>
      </c>
      <c r="C81">
        <v>14409</v>
      </c>
      <c r="D81" t="str">
        <v>Merville-Franceville-Plage</v>
      </c>
      <c r="E81" t="str">
        <v>Dalle PDR</v>
      </c>
      <c r="F81" t="str">
        <v>49.2712375</v>
      </c>
      <c r="G81" t="str">
        <v xml:space="preserve"> -0.1876433</v>
      </c>
      <c r="H81" t="str">
        <v>DALLE A FAIRE</v>
      </c>
      <c r="I81" t="str">
        <v>A AMÉNAGER</v>
      </c>
    </row>
    <row r="82" spans="1:9" x14ac:dyDescent="0.25">
      <c r="A82" s="109">
        <v>81</v>
      </c>
      <c r="B82" s="109">
        <v>11</v>
      </c>
      <c r="C82">
        <v>14409</v>
      </c>
      <c r="D82" t="str">
        <v>Merville-Franceville-Plage</v>
      </c>
      <c r="E82" t="str">
        <v>Dalle PDR</v>
      </c>
      <c r="F82" t="str">
        <v>49.2589267</v>
      </c>
      <c r="G82" t="str">
        <v xml:space="preserve"> -0.2226985</v>
      </c>
      <c r="H82" t="str">
        <v>DALLE A FAIRE</v>
      </c>
      <c r="I82" t="str">
        <v>A AMÉNAGER</v>
      </c>
    </row>
    <row r="83" spans="1:9" x14ac:dyDescent="0.25">
      <c r="A83" s="109">
        <v>82</v>
      </c>
      <c r="B83" s="109">
        <v>11</v>
      </c>
      <c r="C83">
        <v>14409</v>
      </c>
      <c r="D83" t="str">
        <v>Merville-Franceville-Plage</v>
      </c>
      <c r="E83" t="str">
        <v>Dalle borne à verre</v>
      </c>
      <c r="F83" t="str">
        <v>49.282047292669496</v>
      </c>
      <c r="G83" t="str">
        <v xml:space="preserve"> -0.20541323874820994</v>
      </c>
      <c r="H83" t="str">
        <v>DALLE A FAIRE</v>
      </c>
      <c r="I83" t="str">
        <v/>
      </c>
    </row>
    <row r="84" spans="1:9" x14ac:dyDescent="0.25">
      <c r="A84" s="109">
        <v>83</v>
      </c>
      <c r="B84" s="109">
        <v>11</v>
      </c>
      <c r="C84">
        <v>14409</v>
      </c>
      <c r="D84" t="str">
        <v>Merville-Franceville-Plage</v>
      </c>
      <c r="E84" t="str">
        <v>Dalle borne à verre</v>
      </c>
      <c r="F84" t="str">
        <v>49.28206352793798</v>
      </c>
      <c r="G84" t="str">
        <v xml:space="preserve"> -0.2054013182976707</v>
      </c>
      <c r="H84" t="str">
        <v>DALLE A FAIRE</v>
      </c>
      <c r="I84" t="str">
        <v/>
      </c>
    </row>
    <row r="85" spans="1:9" x14ac:dyDescent="0.25">
      <c r="A85" s="109">
        <v>84</v>
      </c>
      <c r="B85" s="109">
        <v>12</v>
      </c>
      <c r="C85">
        <v>14012</v>
      </c>
      <c r="D85" t="str">
        <v>Angerville</v>
      </c>
      <c r="E85" t="str">
        <v>Dalle PDR</v>
      </c>
      <c r="F85" t="str">
        <v>49.2472318</v>
      </c>
      <c r="G85" t="str">
        <v xml:space="preserve"> -0.0129685</v>
      </c>
      <c r="H85" t="str">
        <v>DALLE A FAIRE</v>
      </c>
      <c r="I85" t="str">
        <v>A AGRANDIR</v>
      </c>
    </row>
    <row r="86" spans="1:9" x14ac:dyDescent="0.25">
      <c r="A86" s="109">
        <v>85</v>
      </c>
      <c r="B86" s="109">
        <v>12</v>
      </c>
      <c r="C86">
        <v>14012</v>
      </c>
      <c r="D86" t="str">
        <v>Angerville</v>
      </c>
      <c r="E86" t="str">
        <v>Dalle PDR</v>
      </c>
      <c r="F86" t="str">
        <v>49.2400787</v>
      </c>
      <c r="G86" t="str">
        <v xml:space="preserve"> -0.0191979</v>
      </c>
      <c r="H86" t="str">
        <v>DALLE A FAIRE</v>
      </c>
      <c r="I86" t="str">
        <v>A AMÉNAGER</v>
      </c>
    </row>
    <row r="87" spans="1:9" x14ac:dyDescent="0.25">
      <c r="A87" s="109">
        <v>86</v>
      </c>
      <c r="B87" s="109">
        <v>12</v>
      </c>
      <c r="C87">
        <v>14012</v>
      </c>
      <c r="D87" t="str">
        <v>Angerville</v>
      </c>
      <c r="E87" t="str">
        <v>Dalle PDR</v>
      </c>
      <c r="F87" t="str">
        <v>49.244207</v>
      </c>
      <c r="G87" t="str">
        <v xml:space="preserve"> -0.0395653</v>
      </c>
      <c r="H87" t="str">
        <v>DALLE A FAIRE</v>
      </c>
      <c r="I87" t="str">
        <v>A CRÉER</v>
      </c>
    </row>
    <row r="88" spans="1:9" x14ac:dyDescent="0.25">
      <c r="A88" s="109">
        <v>87</v>
      </c>
      <c r="B88" s="109">
        <v>12</v>
      </c>
      <c r="C88">
        <v>14012</v>
      </c>
      <c r="D88" t="str">
        <v>Angerville</v>
      </c>
      <c r="E88" t="str">
        <v>Dalle PDR</v>
      </c>
      <c r="F88" t="str">
        <v>49.2481283</v>
      </c>
      <c r="G88" t="str">
        <v xml:space="preserve"> -0.0366497</v>
      </c>
      <c r="H88" t="str">
        <v>DALLE A FAIRE</v>
      </c>
      <c r="I88" t="str">
        <v>A CRÉER</v>
      </c>
    </row>
    <row r="89" spans="1:9" x14ac:dyDescent="0.25">
      <c r="A89" s="109">
        <v>88</v>
      </c>
      <c r="B89" s="109">
        <v>12</v>
      </c>
      <c r="C89">
        <v>14203</v>
      </c>
      <c r="D89" t="str">
        <v>Cricqueville-en-Auge</v>
      </c>
      <c r="E89" t="str">
        <v>Dalle cabane à cartons</v>
      </c>
      <c r="F89" t="str">
        <v>49.25049652130896</v>
      </c>
      <c r="G89" t="str">
        <v xml:space="preserve"> -0.06291898739405613</v>
      </c>
      <c r="H89" t="str">
        <v>DALLE A FAIRE</v>
      </c>
      <c r="I89" t="str">
        <v/>
      </c>
    </row>
    <row r="90" spans="1:9" x14ac:dyDescent="0.25">
      <c r="A90" s="109">
        <v>89</v>
      </c>
      <c r="B90" s="109">
        <v>12</v>
      </c>
      <c r="C90">
        <v>14203</v>
      </c>
      <c r="D90" t="str">
        <v>Cricqueville-en-Auge</v>
      </c>
      <c r="E90" t="str">
        <v>Dalle PDR</v>
      </c>
      <c r="F90" t="str">
        <v>49.2504981</v>
      </c>
      <c r="G90" t="str">
        <v xml:space="preserve"> -0.0629809</v>
      </c>
      <c r="H90" t="str">
        <v>DALLE A FAIRE</v>
      </c>
      <c r="I90" t="str">
        <v>A AGRANDIR</v>
      </c>
    </row>
    <row r="91" spans="1:9" x14ac:dyDescent="0.25">
      <c r="A91" s="109">
        <v>90</v>
      </c>
      <c r="B91" s="109">
        <v>14</v>
      </c>
      <c r="C91">
        <v>14550</v>
      </c>
      <c r="D91" t="str">
        <v>Rumesnil</v>
      </c>
      <c r="E91" t="str">
        <v>Dalle PDR</v>
      </c>
      <c r="F91" t="str">
        <v>49.1861083</v>
      </c>
      <c r="G91" t="str">
        <v xml:space="preserve"> 0.0355218</v>
      </c>
      <c r="H91" t="str">
        <v>DALLE A FAIRE</v>
      </c>
      <c r="I91" t="str">
        <v>A AMÉNAGER</v>
      </c>
    </row>
    <row r="92" spans="1:9" x14ac:dyDescent="0.25">
      <c r="A92" s="109">
        <v>91</v>
      </c>
      <c r="B92" s="109">
        <v>14</v>
      </c>
      <c r="C92">
        <v>14550</v>
      </c>
      <c r="D92" t="str">
        <v>Rumesnil</v>
      </c>
      <c r="E92" t="str">
        <v>Dalle PDR</v>
      </c>
      <c r="F92" t="str">
        <v>49.1824292</v>
      </c>
      <c r="G92" t="str">
        <v xml:space="preserve"> 0.0172922</v>
      </c>
      <c r="H92" t="str">
        <v>DALLE A FAIRE</v>
      </c>
      <c r="I92" t="str">
        <v>A AMÉNAGER</v>
      </c>
    </row>
    <row r="93" spans="1:9" x14ac:dyDescent="0.25">
      <c r="A93" s="109">
        <v>92</v>
      </c>
      <c r="B93" s="109">
        <v>14</v>
      </c>
      <c r="C93">
        <v>14550</v>
      </c>
      <c r="D93" t="str">
        <v>Rumesnil</v>
      </c>
      <c r="E93" t="str">
        <v>Dalle borne à verre</v>
      </c>
      <c r="F93" t="str">
        <v>49.18610891146093</v>
      </c>
      <c r="G93" t="str">
        <v xml:space="preserve"> 0.03553315452669501</v>
      </c>
      <c r="H93" t="str">
        <v>DALLE A FAIRE</v>
      </c>
      <c r="I93" t="str">
        <v/>
      </c>
    </row>
    <row r="94" spans="1:9" x14ac:dyDescent="0.25">
      <c r="A94" s="109">
        <v>93</v>
      </c>
      <c r="B94" s="109">
        <v>15</v>
      </c>
      <c r="C94">
        <v>14070</v>
      </c>
      <c r="D94" t="str">
        <v>Beuvron-en-Auge</v>
      </c>
      <c r="E94" t="str">
        <v>Dalle cabane à cartons</v>
      </c>
      <c r="F94" t="str">
        <v>49.18846261113245</v>
      </c>
      <c r="G94" t="str">
        <v xml:space="preserve"> -0.04899986696358147</v>
      </c>
      <c r="H94" t="str">
        <v>DALLE A FAIRE</v>
      </c>
      <c r="I94" t="str">
        <v/>
      </c>
    </row>
    <row r="95" spans="1:9" x14ac:dyDescent="0.25">
      <c r="A95" s="109">
        <v>94</v>
      </c>
      <c r="B95" s="109">
        <v>15</v>
      </c>
      <c r="C95">
        <v>14070</v>
      </c>
      <c r="D95" t="str">
        <v>Beuvron-en-Auge</v>
      </c>
      <c r="E95" t="str">
        <v>Dalle cabane à cartons</v>
      </c>
      <c r="F95" t="str">
        <v>49.18842466474889</v>
      </c>
      <c r="G95" t="str">
        <v xml:space="preserve"> -0.04898877950306013</v>
      </c>
      <c r="H95" t="str">
        <v>DALLE A FAIRE</v>
      </c>
      <c r="I95" t="str">
        <v/>
      </c>
    </row>
    <row r="96" spans="1:9" x14ac:dyDescent="0.25">
      <c r="A96" s="109">
        <v>95</v>
      </c>
      <c r="B96" s="109">
        <v>15</v>
      </c>
      <c r="C96">
        <v>14070</v>
      </c>
      <c r="D96" t="str">
        <v>Beuvron-en-Auge</v>
      </c>
      <c r="E96" t="str">
        <v>Dalle PDR</v>
      </c>
      <c r="F96" t="str">
        <v>49.2031245</v>
      </c>
      <c r="G96" t="str">
        <v xml:space="preserve"> -0.0194098</v>
      </c>
      <c r="H96" t="str">
        <v>DALLE A FAIRE</v>
      </c>
      <c r="I96" t="str">
        <v>A CRÉER</v>
      </c>
    </row>
    <row r="97" spans="1:9" x14ac:dyDescent="0.25">
      <c r="A97" s="109">
        <v>96</v>
      </c>
      <c r="B97" s="109">
        <v>15</v>
      </c>
      <c r="C97">
        <v>14070</v>
      </c>
      <c r="D97" t="str">
        <v>Beuvron-en-Auge</v>
      </c>
      <c r="E97" t="str">
        <v>Dalle PDR</v>
      </c>
      <c r="F97" t="str">
        <v>49.206794</v>
      </c>
      <c r="G97" t="str">
        <v xml:space="preserve"> -0.0322616</v>
      </c>
      <c r="H97" t="str">
        <v>DALLE A FAIRE</v>
      </c>
      <c r="I97" t="str">
        <v>A AMÉNAGER</v>
      </c>
    </row>
    <row r="98" spans="1:9" x14ac:dyDescent="0.25">
      <c r="A98" s="109">
        <v>97</v>
      </c>
      <c r="B98" s="109">
        <v>15</v>
      </c>
      <c r="C98">
        <v>14598</v>
      </c>
      <c r="D98" t="str">
        <v>Saint-Jouin</v>
      </c>
      <c r="E98" t="str">
        <v>Dalle cabane à cartons</v>
      </c>
      <c r="F98" t="str">
        <v>49.21965545601737</v>
      </c>
      <c r="G98" t="str">
        <v xml:space="preserve"> -0.016808597100771826</v>
      </c>
      <c r="H98" t="str">
        <v>DALLE A FAIRE</v>
      </c>
      <c r="I98" t="str">
        <v/>
      </c>
    </row>
    <row r="99" spans="1:9" x14ac:dyDescent="0.25">
      <c r="A99" s="109">
        <v>98</v>
      </c>
      <c r="B99" s="109">
        <v>15</v>
      </c>
      <c r="C99">
        <v>14598</v>
      </c>
      <c r="D99" t="str">
        <v>Saint-Jouin</v>
      </c>
      <c r="E99" t="str">
        <v>Dalle PDR</v>
      </c>
      <c r="F99" t="str">
        <v>49.2136874</v>
      </c>
      <c r="G99" t="str">
        <v xml:space="preserve"> -0.0287721</v>
      </c>
      <c r="H99" t="str">
        <v>DALLE A FAIRE</v>
      </c>
      <c r="I99" t="str">
        <v>A AMÉNAGER</v>
      </c>
    </row>
    <row r="100" spans="1:9" x14ac:dyDescent="0.25">
      <c r="A100" s="109">
        <v>99</v>
      </c>
      <c r="B100" s="109">
        <v>15</v>
      </c>
      <c r="C100">
        <v>14598</v>
      </c>
      <c r="D100" t="str">
        <v>Saint-Jouin</v>
      </c>
      <c r="E100" t="str">
        <v>Dalle PDR</v>
      </c>
      <c r="F100" t="str">
        <v>49.22458</v>
      </c>
      <c r="G100" t="str">
        <v xml:space="preserve"> 0.004144</v>
      </c>
      <c r="H100" t="str">
        <v>DALLE A FAIRE</v>
      </c>
      <c r="I100" t="str">
        <v>A DÉPLACER</v>
      </c>
    </row>
    <row r="101" spans="1:9" x14ac:dyDescent="0.25">
      <c r="A101" s="109">
        <v>100</v>
      </c>
      <c r="B101" s="109">
        <v>15</v>
      </c>
      <c r="C101">
        <v>14598</v>
      </c>
      <c r="D101" t="str">
        <v>Saint-Jouin</v>
      </c>
      <c r="E101" t="str">
        <v>Dalle PDR</v>
      </c>
      <c r="F101" t="str">
        <v>49.222611007790995</v>
      </c>
      <c r="G101" t="str">
        <v xml:space="preserve"> -0.02795375667878372</v>
      </c>
      <c r="H101" t="str">
        <v>DALLE A FAIRE</v>
      </c>
      <c r="I101" t="str">
        <v>A CRÉER</v>
      </c>
    </row>
    <row r="102" spans="1:9" x14ac:dyDescent="0.25">
      <c r="A102" s="109">
        <v>101</v>
      </c>
      <c r="B102" s="109">
        <v>17</v>
      </c>
      <c r="C102">
        <v>14227</v>
      </c>
      <c r="D102" t="str">
        <v>Douville-en-Auge</v>
      </c>
      <c r="E102" t="str">
        <v>Dalle PDR</v>
      </c>
      <c r="F102" t="str">
        <v>49.2639732</v>
      </c>
      <c r="G102" t="str">
        <v xml:space="preserve"> -0.0102903</v>
      </c>
      <c r="H102" t="str">
        <v>DALLE A FAIRE</v>
      </c>
      <c r="I102" t="str">
        <v>A AGRANDIR</v>
      </c>
    </row>
    <row r="103" spans="1:9" x14ac:dyDescent="0.25">
      <c r="A103" s="109">
        <v>102</v>
      </c>
      <c r="B103" s="109">
        <v>17</v>
      </c>
      <c r="C103">
        <v>14227</v>
      </c>
      <c r="D103" t="str">
        <v>Douville-en-Auge</v>
      </c>
      <c r="E103" t="str">
        <v>Dalle PDR</v>
      </c>
      <c r="F103" t="str">
        <v>49.2591368</v>
      </c>
      <c r="G103" t="str">
        <v xml:space="preserve"> -0.0063676</v>
      </c>
      <c r="H103" t="str">
        <v>DALLE A FAIRE</v>
      </c>
      <c r="I103" t="str">
        <v>A AGRANDIR</v>
      </c>
    </row>
    <row r="104" spans="1:9" x14ac:dyDescent="0.25">
      <c r="A104" s="109">
        <v>103</v>
      </c>
      <c r="B104" s="109">
        <v>17</v>
      </c>
      <c r="C104">
        <v>14227</v>
      </c>
      <c r="D104" t="str">
        <v>Douville-en-Auge</v>
      </c>
      <c r="E104" t="str">
        <v>Dalle PDR</v>
      </c>
      <c r="F104" t="str">
        <v>49.2744908</v>
      </c>
      <c r="G104" t="str">
        <v xml:space="preserve"> -0.0135411</v>
      </c>
      <c r="H104" t="str">
        <v>DALLE A FAIRE</v>
      </c>
      <c r="I104" t="str">
        <v>A AGRANDIR</v>
      </c>
    </row>
    <row r="105" spans="1:9" x14ac:dyDescent="0.25">
      <c r="A105" s="109">
        <v>104</v>
      </c>
      <c r="B105" s="109">
        <v>17</v>
      </c>
      <c r="C105">
        <v>14227</v>
      </c>
      <c r="D105" t="str">
        <v>Douville-en-Auge</v>
      </c>
      <c r="E105" t="str">
        <v>Dalle borne à verre</v>
      </c>
      <c r="F105" t="str">
        <v>49.26291</v>
      </c>
      <c r="G105" t="str">
        <v xml:space="preserve"> -0.02559</v>
      </c>
      <c r="H105" t="str">
        <v>DALLE A FAIRE</v>
      </c>
      <c r="I105" t="str">
        <v/>
      </c>
    </row>
    <row r="106" spans="1:9" x14ac:dyDescent="0.25">
      <c r="A106" s="109">
        <v>105</v>
      </c>
      <c r="B106" s="109">
        <v>18</v>
      </c>
      <c r="C106">
        <v>14231</v>
      </c>
      <c r="D106" t="str">
        <v>Beaufour-Druval</v>
      </c>
      <c r="E106" t="str">
        <v>Dalle cabane à cartons</v>
      </c>
      <c r="F106" t="str">
        <v>49.21497388373563</v>
      </c>
      <c r="G106" t="str">
        <v xml:space="preserve"> 0.021471329987151584</v>
      </c>
      <c r="H106" t="str">
        <v>DALLE A FAIRE</v>
      </c>
      <c r="I106" t="str">
        <v/>
      </c>
    </row>
    <row r="107" spans="1:9" x14ac:dyDescent="0.25">
      <c r="A107" s="109">
        <v>106</v>
      </c>
      <c r="B107" s="109">
        <v>18</v>
      </c>
      <c r="C107">
        <v>14231</v>
      </c>
      <c r="D107" t="str">
        <v>Beaufour-Druval</v>
      </c>
      <c r="E107" t="str">
        <v>Dalle PDR</v>
      </c>
      <c r="F107" t="str">
        <v>49.2198913</v>
      </c>
      <c r="G107" t="str">
        <v xml:space="preserve"> 0.0180459</v>
      </c>
      <c r="H107" t="str">
        <v>DALLE A FAIRE</v>
      </c>
      <c r="I107" t="str">
        <v>A AMÉNAGER</v>
      </c>
    </row>
    <row r="108" spans="1:9" x14ac:dyDescent="0.25">
      <c r="A108" s="109">
        <v>107</v>
      </c>
      <c r="B108" s="109">
        <v>19</v>
      </c>
      <c r="C108">
        <v>14198</v>
      </c>
      <c r="D108" t="str">
        <v>Cresseveuille</v>
      </c>
      <c r="E108" t="str">
        <v>Dalle PDR</v>
      </c>
      <c r="F108" t="str">
        <v>49.2396996</v>
      </c>
      <c r="G108" t="str">
        <v xml:space="preserve"> 0.0281256</v>
      </c>
      <c r="H108" t="str">
        <v>DALLE A FAIRE</v>
      </c>
      <c r="I108" t="str">
        <v>A AGRANDIR</v>
      </c>
    </row>
    <row r="109" spans="1:9" x14ac:dyDescent="0.25">
      <c r="A109" s="109">
        <v>108</v>
      </c>
      <c r="B109" s="109">
        <v>19</v>
      </c>
      <c r="C109">
        <v>14198</v>
      </c>
      <c r="D109" t="str">
        <v>Cresseveuille</v>
      </c>
      <c r="E109" t="str">
        <v>Dalle borne à verre</v>
      </c>
      <c r="F109" t="str">
        <v>49.24698</v>
      </c>
      <c r="G109" t="str">
        <v xml:space="preserve"> -0.00326</v>
      </c>
      <c r="H109" t="str">
        <v>DALLE A FAIRE</v>
      </c>
      <c r="I109" t="str">
        <v/>
      </c>
    </row>
    <row r="110" spans="1:9" x14ac:dyDescent="0.25">
      <c r="A110" s="109">
        <v>109</v>
      </c>
      <c r="B110" s="109">
        <v>20</v>
      </c>
      <c r="C110">
        <v>14009</v>
      </c>
      <c r="D110" t="str">
        <v>Amfreville</v>
      </c>
      <c r="E110" t="str">
        <v>Dalle cabane à cartons</v>
      </c>
      <c r="F110" t="str">
        <v>49.25562438639887</v>
      </c>
      <c r="G110" t="str">
        <v xml:space="preserve"> -0.22937048501071255</v>
      </c>
      <c r="H110" t="str">
        <v>DALLE A FAIRE</v>
      </c>
      <c r="I110" t="str">
        <v/>
      </c>
    </row>
    <row r="111" spans="1:9" x14ac:dyDescent="0.25">
      <c r="A111" s="109">
        <v>110</v>
      </c>
      <c r="B111" s="109">
        <v>20</v>
      </c>
      <c r="C111">
        <v>14009</v>
      </c>
      <c r="D111" t="str">
        <v>Amfreville</v>
      </c>
      <c r="E111" t="str">
        <v>Dalle PDR</v>
      </c>
      <c r="F111" t="str">
        <v>49.249052346825934</v>
      </c>
      <c r="G111" t="str">
        <v xml:space="preserve"> -0.23480492949435036</v>
      </c>
      <c r="H111" t="str">
        <v>DALLE A FAIRE</v>
      </c>
      <c r="I111" t="str">
        <v>A AMÉNAGER</v>
      </c>
    </row>
    <row r="112" spans="1:9" x14ac:dyDescent="0.25">
      <c r="A112" s="109">
        <v>111</v>
      </c>
      <c r="B112" s="109">
        <v>20</v>
      </c>
      <c r="C112">
        <v>14009</v>
      </c>
      <c r="D112" t="str">
        <v>Amfreville</v>
      </c>
      <c r="E112" t="str">
        <v>Dalle PDR</v>
      </c>
      <c r="F112" t="str">
        <v>49.249052346825934</v>
      </c>
      <c r="G112" t="str">
        <v xml:space="preserve"> -0.23480492949435036</v>
      </c>
      <c r="H112" t="str">
        <v>DALLE A FAIRE</v>
      </c>
      <c r="I112" t="str">
        <v>A AMÉNAGER</v>
      </c>
    </row>
    <row r="113" spans="1:9" x14ac:dyDescent="0.25">
      <c r="A113" s="109">
        <v>112</v>
      </c>
      <c r="B113" s="109">
        <v>20</v>
      </c>
      <c r="C113">
        <v>14009</v>
      </c>
      <c r="D113" t="str">
        <v>Amfreville</v>
      </c>
      <c r="E113" t="str">
        <v>Dalle borne à verre</v>
      </c>
      <c r="F113" t="str">
        <v>49.25566199427314</v>
      </c>
      <c r="G113" t="str">
        <v xml:space="preserve"> -0.22938853639403137</v>
      </c>
      <c r="H113" t="str">
        <v>DALLE A FAIRE</v>
      </c>
      <c r="I113" t="str">
        <v/>
      </c>
    </row>
    <row r="114" spans="1:9" x14ac:dyDescent="0.25">
      <c r="A114" s="109">
        <v>113</v>
      </c>
      <c r="B114" s="109">
        <v>20</v>
      </c>
      <c r="C114">
        <v>14009</v>
      </c>
      <c r="D114" t="str">
        <v>Amfreville</v>
      </c>
      <c r="E114" t="str">
        <v>Dalle borne à verre</v>
      </c>
      <c r="F114" t="str">
        <v>49.24970995591638</v>
      </c>
      <c r="G114" t="str">
        <v xml:space="preserve"> -0.23556659122746876</v>
      </c>
      <c r="H114" t="str">
        <v>DALLE A FAIRE</v>
      </c>
      <c r="I114" t="str">
        <v/>
      </c>
    </row>
    <row r="115" spans="1:9" x14ac:dyDescent="0.25">
      <c r="A115" s="109">
        <v>114</v>
      </c>
      <c r="B115" s="109">
        <v>21</v>
      </c>
      <c r="C115">
        <v>14308</v>
      </c>
      <c r="D115" t="str">
        <v>Goustranville</v>
      </c>
      <c r="E115" t="str">
        <v>Dalle PDR</v>
      </c>
      <c r="F115" t="str">
        <v>49.21780169594783</v>
      </c>
      <c r="G115" t="str">
        <v xml:space="preserve"> -0.09841021053886023</v>
      </c>
      <c r="H115" t="str">
        <v>DALLE A FAIRE</v>
      </c>
      <c r="I115" t="str">
        <v>A CRÉER</v>
      </c>
    </row>
    <row r="116" spans="1:9" x14ac:dyDescent="0.25">
      <c r="A116" s="109">
        <v>115</v>
      </c>
      <c r="B116" s="109">
        <v>23</v>
      </c>
      <c r="C116">
        <v>14110</v>
      </c>
      <c r="D116" t="str">
        <v>Brucourt</v>
      </c>
      <c r="E116" t="str">
        <v>Dalle PDR</v>
      </c>
      <c r="F116" t="str">
        <v>49.2458941</v>
      </c>
      <c r="G116" t="str">
        <v xml:space="preserve"> -0.1005694</v>
      </c>
      <c r="H116" t="str">
        <v>DALLE A FAIRE</v>
      </c>
      <c r="I116" t="str">
        <v>A AMÉNAGER</v>
      </c>
    </row>
    <row r="117" spans="1:9" x14ac:dyDescent="0.25">
      <c r="A117" s="109">
        <v>116</v>
      </c>
      <c r="B117" s="109">
        <v>23</v>
      </c>
      <c r="C117">
        <v>14110</v>
      </c>
      <c r="D117" t="str">
        <v>Brucourt</v>
      </c>
      <c r="E117" t="str">
        <v>Dalle PDR</v>
      </c>
      <c r="F117" t="str">
        <v>49.2446299</v>
      </c>
      <c r="G117" t="str">
        <v xml:space="preserve"> -0.1047993</v>
      </c>
      <c r="H117" t="str">
        <v>DALLE A FAIRE</v>
      </c>
      <c r="I117" t="str">
        <v>A AMÉNAGER</v>
      </c>
    </row>
    <row r="118" spans="1:9" x14ac:dyDescent="0.25">
      <c r="A118" s="109">
        <v>117</v>
      </c>
      <c r="B118" s="109">
        <v>23</v>
      </c>
      <c r="C118">
        <v>14110</v>
      </c>
      <c r="D118" t="str">
        <v>Brucourt</v>
      </c>
      <c r="E118" t="str">
        <v>Dalle PDR</v>
      </c>
      <c r="F118" t="str">
        <v>49.2552216</v>
      </c>
      <c r="G118" t="str">
        <v xml:space="preserve"> -0.0935085</v>
      </c>
      <c r="H118" t="str">
        <v>DALLE A FAIRE</v>
      </c>
      <c r="I118" t="str">
        <v>A AMÉNAGER</v>
      </c>
    </row>
    <row r="119" spans="1:9" x14ac:dyDescent="0.25">
      <c r="A119" s="109">
        <v>118</v>
      </c>
      <c r="B119" s="109">
        <v>23</v>
      </c>
      <c r="C119">
        <v>14110</v>
      </c>
      <c r="D119" t="str">
        <v>Brucourt</v>
      </c>
      <c r="E119" t="str">
        <v>Dalle borne à verre</v>
      </c>
      <c r="F119" t="str">
        <v>49.24471428769877</v>
      </c>
      <c r="G119" t="str">
        <v xml:space="preserve"> -0.10471671057294427</v>
      </c>
      <c r="H119" t="str">
        <v>DALLE A FAIRE</v>
      </c>
      <c r="I119" t="str">
        <v/>
      </c>
    </row>
    <row r="120" spans="1:9" x14ac:dyDescent="0.25">
      <c r="A120" s="109">
        <v>119</v>
      </c>
      <c r="B120" s="109">
        <v>24</v>
      </c>
      <c r="C120">
        <v>14046</v>
      </c>
      <c r="D120" t="str">
        <v>Bavent</v>
      </c>
      <c r="E120" t="str">
        <v>Dalle PDR</v>
      </c>
      <c r="F120" t="str">
        <v>49.2348809</v>
      </c>
      <c r="G120" t="str">
        <v xml:space="preserve"> -0.1450995</v>
      </c>
      <c r="H120" t="str">
        <v>DALLE A FAIRE</v>
      </c>
      <c r="I120" t="str">
        <v>A AMÉNAGER</v>
      </c>
    </row>
    <row r="121" spans="1:9" x14ac:dyDescent="0.25">
      <c r="A121" s="109">
        <v>120</v>
      </c>
      <c r="B121" s="109">
        <v>24</v>
      </c>
      <c r="C121">
        <v>14046</v>
      </c>
      <c r="D121" t="str">
        <v>Bavent</v>
      </c>
      <c r="E121" t="str">
        <v>Dalle PDR</v>
      </c>
      <c r="F121" t="str">
        <v>49.2347951</v>
      </c>
      <c r="G121" t="str">
        <v xml:space="preserve"> -0.1484656</v>
      </c>
      <c r="H121" t="str">
        <v>DALLE A FAIRE</v>
      </c>
      <c r="I121" t="str">
        <v>A CRÉER</v>
      </c>
    </row>
    <row r="122" spans="1:9" x14ac:dyDescent="0.25">
      <c r="A122" s="109">
        <v>121</v>
      </c>
      <c r="B122" s="109">
        <v>24</v>
      </c>
      <c r="C122">
        <v>14046</v>
      </c>
      <c r="D122" t="str">
        <v>Bavent</v>
      </c>
      <c r="E122" t="str">
        <v>Dalle PDR</v>
      </c>
      <c r="F122" t="str">
        <v>49.2321592</v>
      </c>
      <c r="G122" t="str">
        <v xml:space="preserve"> -0.1931164</v>
      </c>
      <c r="H122" t="str">
        <v>DALLE A FAIRE</v>
      </c>
      <c r="I122" t="str">
        <v>A CRÉER</v>
      </c>
    </row>
    <row r="123" spans="1:9" x14ac:dyDescent="0.25">
      <c r="A123" s="109">
        <v>122</v>
      </c>
      <c r="B123" s="109">
        <v>24</v>
      </c>
      <c r="C123">
        <v>14046</v>
      </c>
      <c r="D123" t="str">
        <v>Bavent</v>
      </c>
      <c r="E123" t="str">
        <v>Dalle PDR</v>
      </c>
      <c r="F123" t="str">
        <v>49.206777</v>
      </c>
      <c r="G123" t="str">
        <v>-0.032260</v>
      </c>
      <c r="H123" t="str">
        <v>DALLE A FAIRE</v>
      </c>
      <c r="I123" t="str">
        <v>A CRÉER</v>
      </c>
    </row>
    <row r="124" spans="1:9" x14ac:dyDescent="0.25">
      <c r="A124" s="109">
        <v>123</v>
      </c>
      <c r="B124" s="109">
        <v>24</v>
      </c>
      <c r="C124">
        <v>14046</v>
      </c>
      <c r="D124" t="str">
        <v>Bavent</v>
      </c>
      <c r="E124" t="str">
        <v>Dalle PDR</v>
      </c>
      <c r="F124" t="str">
        <v>49.229637</v>
      </c>
      <c r="G124" t="str">
        <v xml:space="preserve"> -0.1872584</v>
      </c>
      <c r="H124" t="str">
        <v>DALLE A FAIRE</v>
      </c>
      <c r="I124" t="str">
        <v>A CRÉER</v>
      </c>
    </row>
    <row r="125" spans="1:9" x14ac:dyDescent="0.25">
      <c r="A125" s="109">
        <v>124</v>
      </c>
      <c r="B125" s="109">
        <v>24</v>
      </c>
      <c r="C125">
        <v>14046</v>
      </c>
      <c r="D125" t="str">
        <v>Bavent</v>
      </c>
      <c r="E125" t="str">
        <v>Dalle PDR</v>
      </c>
      <c r="F125" t="str">
        <v>49.2305566</v>
      </c>
      <c r="G125" t="str">
        <v xml:space="preserve"> -0.1973569</v>
      </c>
      <c r="H125" t="str">
        <v>DALLE A FAIRE</v>
      </c>
      <c r="I125" t="str">
        <v>A CRÉER</v>
      </c>
    </row>
    <row r="126" spans="1:9" x14ac:dyDescent="0.25">
      <c r="A126" s="109">
        <v>125</v>
      </c>
      <c r="B126" s="109">
        <v>24</v>
      </c>
      <c r="C126">
        <v>14046</v>
      </c>
      <c r="D126" t="str">
        <v>Bavent</v>
      </c>
      <c r="E126" t="str">
        <v>Dalle borne à verre</v>
      </c>
      <c r="F126" t="str">
        <v>49.23489736377922</v>
      </c>
      <c r="G126" t="str">
        <v xml:space="preserve"> -0.14660517272742066</v>
      </c>
      <c r="H126" t="str">
        <v>DALLE A FAIRE</v>
      </c>
      <c r="I126" t="str">
        <v/>
      </c>
    </row>
    <row r="127" spans="1:9" x14ac:dyDescent="0.25">
      <c r="A127" s="109">
        <v>126</v>
      </c>
      <c r="B127" s="109">
        <v>24</v>
      </c>
      <c r="C127">
        <v>14046</v>
      </c>
      <c r="D127" t="str">
        <v>Bavent</v>
      </c>
      <c r="E127" t="str">
        <v>Dalle borne à verre</v>
      </c>
      <c r="F127" t="str">
        <v>49.23835257305759</v>
      </c>
      <c r="G127" t="str">
        <v xml:space="preserve"> -0.18889293695664308</v>
      </c>
      <c r="H127" t="str">
        <v>DALLE A FAIRE</v>
      </c>
      <c r="I127" t="str">
        <v/>
      </c>
    </row>
    <row r="128" spans="1:9" x14ac:dyDescent="0.25">
      <c r="A128" s="109">
        <v>127</v>
      </c>
      <c r="B128" s="109">
        <v>25</v>
      </c>
      <c r="C128">
        <v>14045</v>
      </c>
      <c r="D128" t="str">
        <v>Basseneville</v>
      </c>
      <c r="E128" t="str">
        <v>Dalle PDR</v>
      </c>
      <c r="F128" t="str">
        <v>49.2076913</v>
      </c>
      <c r="G128" t="str">
        <v xml:space="preserve"> -0.1189426</v>
      </c>
      <c r="H128" t="str">
        <v>DALLE A FAIRE</v>
      </c>
      <c r="I128" t="str">
        <v>A AGRANDIR</v>
      </c>
    </row>
    <row r="129" spans="1:9" x14ac:dyDescent="0.25">
      <c r="A129" s="109">
        <v>128</v>
      </c>
      <c r="B129" s="109">
        <v>25</v>
      </c>
      <c r="C129">
        <v>14045</v>
      </c>
      <c r="D129" t="str">
        <v>Basseneville</v>
      </c>
      <c r="E129" t="str">
        <v>Dalle PDR</v>
      </c>
      <c r="F129" t="str">
        <v>49.21135</v>
      </c>
      <c r="G129" t="str">
        <v xml:space="preserve"> -0.1158996</v>
      </c>
      <c r="H129" t="str">
        <v>DALLE A FAIRE</v>
      </c>
      <c r="I129" t="str">
        <v>A AGRANDIR</v>
      </c>
    </row>
    <row r="130" spans="1:9" x14ac:dyDescent="0.25">
      <c r="A130" s="109">
        <v>129</v>
      </c>
      <c r="B130" s="109">
        <v>25</v>
      </c>
      <c r="C130">
        <v>14045</v>
      </c>
      <c r="D130" t="str">
        <v>Basseneville</v>
      </c>
      <c r="E130" t="str">
        <v>Dalle PDR</v>
      </c>
      <c r="F130" t="str">
        <v>49.199983</v>
      </c>
      <c r="G130" t="str">
        <v xml:space="preserve"> -0.1501742</v>
      </c>
      <c r="H130" t="str">
        <v>DALLE A FAIRE</v>
      </c>
      <c r="I130" t="str">
        <v>A AGRANDIR</v>
      </c>
    </row>
    <row r="131" spans="1:9" x14ac:dyDescent="0.25">
      <c r="A131" s="109">
        <v>130</v>
      </c>
      <c r="B131" s="109">
        <v>25</v>
      </c>
      <c r="C131">
        <v>14045</v>
      </c>
      <c r="D131" t="str">
        <v>Basseneville</v>
      </c>
      <c r="E131" t="str">
        <v>Dalle PDR</v>
      </c>
      <c r="F131" t="str">
        <v>49.20935103640219</v>
      </c>
      <c r="G131" t="str">
        <v xml:space="preserve"> -0.15287255054911186</v>
      </c>
      <c r="H131" t="str">
        <v>DALLE A FAIRE</v>
      </c>
      <c r="I131" t="str">
        <v>A AGRANDIR</v>
      </c>
    </row>
    <row r="132" spans="1:9" x14ac:dyDescent="0.25">
      <c r="A132" s="109">
        <v>131</v>
      </c>
      <c r="B132" s="109">
        <v>25</v>
      </c>
      <c r="C132">
        <v>14524</v>
      </c>
      <c r="D132" t="str">
        <v>Putot-en-Auge</v>
      </c>
      <c r="E132" t="str">
        <v>Dalle cabane à cartons</v>
      </c>
      <c r="F132" t="str">
        <v>49.221084181777954</v>
      </c>
      <c r="G132" t="str">
        <v xml:space="preserve"> -0.07562742766276201</v>
      </c>
      <c r="H132" t="str">
        <v>DALLE A FAIRE</v>
      </c>
      <c r="I132" t="str">
        <v/>
      </c>
    </row>
    <row r="133" spans="1:9" x14ac:dyDescent="0.25">
      <c r="A133" s="109">
        <v>132</v>
      </c>
      <c r="B133" s="109">
        <v>27</v>
      </c>
      <c r="C133">
        <v>14530</v>
      </c>
      <c r="D133" t="str">
        <v>Ranville</v>
      </c>
      <c r="E133" t="str">
        <v>Dalle cabane à cartons</v>
      </c>
      <c r="F133" t="str">
        <v>49.21779033943015</v>
      </c>
      <c r="G133" t="str">
        <v xml:space="preserve"> -0.2819560913042083</v>
      </c>
      <c r="H133" t="str">
        <v>DALLE A FAIRE</v>
      </c>
      <c r="I133" t="str">
        <v/>
      </c>
    </row>
    <row r="134" spans="1:9" x14ac:dyDescent="0.25">
      <c r="A134" s="109">
        <v>133</v>
      </c>
      <c r="B134" s="109">
        <v>27</v>
      </c>
      <c r="C134">
        <v>14530</v>
      </c>
      <c r="D134" t="str">
        <v>Ranville</v>
      </c>
      <c r="E134" t="str">
        <v>Dalle borne à verre</v>
      </c>
      <c r="F134" t="str">
        <v>49.21778458290554</v>
      </c>
      <c r="G134" t="str">
        <v xml:space="preserve"> -0.2819500579137171</v>
      </c>
      <c r="H134" t="str">
        <v>DALLE A FAIRE</v>
      </c>
      <c r="I134" t="str">
        <v/>
      </c>
    </row>
    <row r="135" spans="1:9" x14ac:dyDescent="0.25">
      <c r="A135" s="109">
        <v>134</v>
      </c>
      <c r="B135" s="109">
        <v>28</v>
      </c>
      <c r="C135">
        <v>14246</v>
      </c>
      <c r="D135" t="str">
        <v>Escoville</v>
      </c>
      <c r="E135" t="str">
        <v>Dalle cabane à cartons</v>
      </c>
      <c r="F135" t="str">
        <v>49.210131672560685</v>
      </c>
      <c r="G135" t="str">
        <v xml:space="preserve"> -0.23835679485422115</v>
      </c>
      <c r="H135" t="str">
        <v>DALLE A FAIRE</v>
      </c>
      <c r="I135" t="str">
        <v/>
      </c>
    </row>
    <row r="136" spans="1:9" x14ac:dyDescent="0.25">
      <c r="A136" s="109">
        <v>135</v>
      </c>
      <c r="B136" s="109">
        <v>29</v>
      </c>
      <c r="C136">
        <v>14024</v>
      </c>
      <c r="D136" t="str">
        <v>Auberville</v>
      </c>
      <c r="E136" t="str">
        <v>Dalle PDR</v>
      </c>
      <c r="F136" t="str">
        <v>49.3065861</v>
      </c>
      <c r="G136" t="str">
        <v xml:space="preserve"> -0.0288498</v>
      </c>
      <c r="H136" t="str">
        <v>DALLE A FAIRE</v>
      </c>
      <c r="I136" t="str">
        <v>A AMÉNAGER</v>
      </c>
    </row>
    <row r="137" spans="1:9" x14ac:dyDescent="0.25">
      <c r="A137" s="109">
        <v>136</v>
      </c>
      <c r="B137" s="109">
        <v>29</v>
      </c>
      <c r="C137">
        <v>14024</v>
      </c>
      <c r="D137" t="str">
        <v>Auberville</v>
      </c>
      <c r="E137" t="str">
        <v>Dalle PDR</v>
      </c>
      <c r="F137" t="str">
        <v>49.31762117435177</v>
      </c>
      <c r="G137" t="str">
        <v xml:space="preserve"> -0.015299902973347072</v>
      </c>
      <c r="H137" t="str">
        <v>DALLE A FAIRE</v>
      </c>
      <c r="I137" t="str">
        <v>A AMÉNAGER</v>
      </c>
    </row>
    <row r="138" spans="1:9" x14ac:dyDescent="0.25">
      <c r="A138" s="109">
        <v>137</v>
      </c>
      <c r="B138" s="109">
        <v>29</v>
      </c>
      <c r="C138">
        <v>14024</v>
      </c>
      <c r="D138" t="str">
        <v>Auberville</v>
      </c>
      <c r="E138" t="str">
        <v>Dalle borne à verre</v>
      </c>
      <c r="F138" t="str">
        <v>49.30771517</v>
      </c>
      <c r="G138" t="str">
        <v>-0.03637513</v>
      </c>
      <c r="H138" t="str">
        <v>DALLE A FAIRE</v>
      </c>
      <c r="I138" t="str">
        <v/>
      </c>
    </row>
    <row r="139" spans="1:9" x14ac:dyDescent="0.25">
      <c r="A139" s="109">
        <v>138</v>
      </c>
      <c r="B139" s="109">
        <v>29</v>
      </c>
      <c r="C139">
        <v>14106</v>
      </c>
      <c r="D139" t="str">
        <v>Bréville-les-Monts</v>
      </c>
      <c r="E139" t="str">
        <v>Dalle PDR</v>
      </c>
      <c r="F139" t="str">
        <v>49.2243252</v>
      </c>
      <c r="G139" t="str">
        <v xml:space="preserve"> -0.2265394</v>
      </c>
      <c r="H139" t="str">
        <v>DALLE A FAIRE</v>
      </c>
      <c r="I139" t="str">
        <v>A AGRANDIR</v>
      </c>
    </row>
    <row r="140" spans="1:9" x14ac:dyDescent="0.25">
      <c r="A140" s="109">
        <v>139</v>
      </c>
      <c r="B140" s="109">
        <v>29</v>
      </c>
      <c r="C140">
        <v>14106</v>
      </c>
      <c r="D140" t="str">
        <v>Bréville-les-Monts</v>
      </c>
      <c r="E140" t="str">
        <v>Dalle borne à verre</v>
      </c>
      <c r="F140" t="str">
        <v>49.24513</v>
      </c>
      <c r="G140" t="str">
        <v xml:space="preserve"> -0.20131</v>
      </c>
      <c r="H140" t="str">
        <v>DALLE A FAIRE</v>
      </c>
      <c r="I140" t="str">
        <v/>
      </c>
    </row>
    <row r="141" spans="1:9" x14ac:dyDescent="0.25">
      <c r="A141" s="109">
        <v>140</v>
      </c>
      <c r="B141" s="109">
        <v>31</v>
      </c>
      <c r="C141">
        <v>14329</v>
      </c>
      <c r="D141" t="str">
        <v>Heuland</v>
      </c>
      <c r="E141" t="str">
        <v>Dalle PDR</v>
      </c>
      <c r="F141" t="str">
        <v>49.2577836</v>
      </c>
      <c r="G141" t="str">
        <v xml:space="preserve"> -0.0030953</v>
      </c>
      <c r="H141" t="str">
        <v>DALLE A FAIRE</v>
      </c>
      <c r="I141" t="str">
        <v>A AGRANDIR</v>
      </c>
    </row>
    <row r="142" spans="1:9" x14ac:dyDescent="0.25">
      <c r="A142" s="109">
        <v>141</v>
      </c>
      <c r="B142" s="109">
        <v>31</v>
      </c>
      <c r="C142">
        <v>14606</v>
      </c>
      <c r="D142" t="str">
        <v>Saint-Léger-Dubosq</v>
      </c>
      <c r="E142" t="str">
        <v>Dalle PDR</v>
      </c>
      <c r="F142" t="str">
        <v>49.23393579016323</v>
      </c>
      <c r="G142" t="str">
        <v xml:space="preserve"> -0.0036251905269772257</v>
      </c>
      <c r="H142" t="str">
        <v>DALLE A FAIRE</v>
      </c>
      <c r="I142" t="str">
        <v>A AGRANDIR</v>
      </c>
    </row>
    <row r="143" spans="1:9" x14ac:dyDescent="0.25">
      <c r="A143" s="109">
        <v>142</v>
      </c>
      <c r="B143" s="109">
        <v>33</v>
      </c>
      <c r="C143">
        <v>14660</v>
      </c>
      <c r="D143" t="str">
        <v>Saint-Vaast-en-Auge</v>
      </c>
      <c r="E143" t="str">
        <v>Dalle borne à verre</v>
      </c>
      <c r="F143" t="str">
        <v>49.28914895086987</v>
      </c>
      <c r="G143" t="str">
        <v xml:space="preserve"> 0.0016159300596542358</v>
      </c>
      <c r="H143" t="str">
        <v>DALLE A FAIRE</v>
      </c>
      <c r="I143" t="str">
        <v/>
      </c>
    </row>
    <row r="144" spans="1:9" x14ac:dyDescent="0.25">
      <c r="A144" s="109"/>
      <c r="B144" s="109"/>
    </row>
    <row r="145" spans="1:2" x14ac:dyDescent="0.25">
      <c r="A145" s="109"/>
      <c r="B145" s="109"/>
    </row>
    <row r="146" spans="1:2" x14ac:dyDescent="0.25">
      <c r="A146" s="109"/>
      <c r="B146" s="109"/>
    </row>
    <row r="147" spans="1:2" x14ac:dyDescent="0.25">
      <c r="A147" s="109"/>
      <c r="B147" s="109"/>
    </row>
    <row r="148" spans="1:2" x14ac:dyDescent="0.25">
      <c r="A148" s="109"/>
      <c r="B148" s="109"/>
    </row>
    <row r="149" spans="1:2" x14ac:dyDescent="0.25">
      <c r="A149" s="109"/>
      <c r="B149" s="10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5F88-273D-4DC4-97F7-FD93482FC3F4}">
  <dimension ref="A1:H58"/>
  <sheetViews>
    <sheetView zoomScale="115" zoomScaleNormal="115" workbookViewId="0">
      <pane ySplit="5" topLeftCell="A19" activePane="bottomLeft" state="frozen"/>
      <selection pane="bottomLeft" sqref="A1:H1"/>
    </sheetView>
  </sheetViews>
  <sheetFormatPr baseColWidth="10" defaultRowHeight="15" x14ac:dyDescent="0.25"/>
  <cols>
    <col min="1" max="1" width="18.140625" customWidth="1"/>
    <col min="2" max="2" width="20.42578125" customWidth="1"/>
    <col min="3" max="3" width="14.28515625" customWidth="1"/>
    <col min="4" max="4" width="18.140625" customWidth="1"/>
    <col min="5" max="5" width="14.28515625" customWidth="1"/>
    <col min="6" max="6" width="10.42578125" customWidth="1"/>
    <col min="7" max="7" width="13.28515625" customWidth="1"/>
    <col min="8" max="8" width="10.5703125" customWidth="1"/>
  </cols>
  <sheetData>
    <row r="1" spans="1:8" ht="21" x14ac:dyDescent="0.35">
      <c r="A1" s="122" t="s">
        <v>464</v>
      </c>
      <c r="B1" s="122"/>
      <c r="C1" s="122"/>
      <c r="D1" s="122"/>
      <c r="E1" s="122"/>
      <c r="F1" s="122"/>
      <c r="G1" s="122"/>
      <c r="H1" s="122"/>
    </row>
    <row r="2" spans="1:8" x14ac:dyDescent="0.25">
      <c r="A2" s="123" t="s">
        <v>465</v>
      </c>
      <c r="B2" s="123"/>
      <c r="C2" s="123"/>
      <c r="D2" s="123"/>
      <c r="E2" s="123"/>
      <c r="F2" s="123"/>
      <c r="G2" s="123"/>
      <c r="H2" s="123"/>
    </row>
    <row r="4" spans="1:8" ht="21.95" customHeight="1" x14ac:dyDescent="0.3">
      <c r="A4" s="124" t="s">
        <v>466</v>
      </c>
      <c r="B4" s="125"/>
      <c r="C4" s="125"/>
      <c r="D4" s="125"/>
      <c r="E4" s="125"/>
      <c r="F4" s="125"/>
      <c r="G4" s="125"/>
      <c r="H4" s="125"/>
    </row>
    <row r="5" spans="1:8" ht="33.950000000000003" customHeight="1" x14ac:dyDescent="0.25">
      <c r="A5" s="73" t="s">
        <v>73</v>
      </c>
      <c r="B5" s="73" t="s">
        <v>75</v>
      </c>
      <c r="C5" s="73" t="s">
        <v>452</v>
      </c>
      <c r="D5" s="73" t="s">
        <v>467</v>
      </c>
      <c r="E5" s="73" t="s">
        <v>440</v>
      </c>
      <c r="F5" s="73" t="s">
        <v>441</v>
      </c>
      <c r="G5" s="73" t="s">
        <v>468</v>
      </c>
      <c r="H5" s="73" t="s">
        <v>469</v>
      </c>
    </row>
    <row r="6" spans="1:8" x14ac:dyDescent="0.25">
      <c r="A6" s="77" cm="1">
        <f t="array" ref="A6:A43">_xlfn.SEQUENCE(38)</f>
        <v>1</v>
      </c>
      <c r="B6" s="74" t="str" cm="1">
        <f t="array" ref="B6:B43">_xlfn.SORTBY('PRIORISATION-1'!$B$24:$B$61,'PRIORISATION-1'!$H$24:$H$61,-1)</f>
        <v>Cabourg</v>
      </c>
      <c r="C6" s="80" cm="1">
        <f t="array" ref="C6:C43">_xlfn.SORTBY('PRIORISATION-1'!$H$24:$H$61,'PRIORISATION-1'!$H$24:$H$61,-1)</f>
        <v>72</v>
      </c>
      <c r="D6" s="80" t="str" cm="1">
        <f t="array" ref="D6:D43">_xlfn.SORTBY('PRIORISATION-1'!$G$24:$G$61,'PRIORISATION-1'!$H$24:$H$61,-1)</f>
        <v>P1 - Critique</v>
      </c>
      <c r="E6" s="83" cm="1">
        <f t="array" ref="E6:E43">_xlfn.SORTBY('PRIORISATION-1'!$D$24:$D$61,'PRIORISATION-1'!$H$24:$H$61,-1)</f>
        <v>2</v>
      </c>
      <c r="F6" s="83" cm="1">
        <f t="array" ref="F6:F43">_xlfn.SORTBY('PRIORISATION-1'!$E$24:$E$61,'PRIORISATION-1'!$H$24:$H$61,-1)</f>
        <v>2</v>
      </c>
      <c r="G6" s="83" cm="1">
        <f t="array" ref="G6:G43">_xlfn.SORTBY('PRIORISATION-1'!$F$24:$F$61,'PRIORISATION-1'!$H$24:$H$61,-1)</f>
        <v>3</v>
      </c>
      <c r="H6" s="84">
        <f>E6+F6+G6</f>
        <v>7</v>
      </c>
    </row>
    <row r="7" spans="1:8" x14ac:dyDescent="0.25">
      <c r="A7" s="78">
        <v>2</v>
      </c>
      <c r="B7" s="75" t="str">
        <v>Houlgate</v>
      </c>
      <c r="C7" s="81">
        <v>69</v>
      </c>
      <c r="D7" s="81" t="str">
        <v>P1 - Critique</v>
      </c>
      <c r="E7" s="85">
        <v>1</v>
      </c>
      <c r="F7" s="85">
        <v>6</v>
      </c>
      <c r="G7" s="85">
        <v>1</v>
      </c>
      <c r="H7" s="86">
        <f t="shared" ref="H7:H43" si="0">E7+F7+G7</f>
        <v>8</v>
      </c>
    </row>
    <row r="8" spans="1:8" x14ac:dyDescent="0.25">
      <c r="A8" s="78">
        <v>3</v>
      </c>
      <c r="B8" s="75" t="str">
        <v>Grangues</v>
      </c>
      <c r="C8" s="81">
        <v>65</v>
      </c>
      <c r="D8" s="81" t="str">
        <v>P1 - Critique</v>
      </c>
      <c r="E8" s="85">
        <v>1</v>
      </c>
      <c r="F8" s="85">
        <v>8</v>
      </c>
      <c r="G8" s="85">
        <v>0</v>
      </c>
      <c r="H8" s="86">
        <f t="shared" si="0"/>
        <v>9</v>
      </c>
    </row>
    <row r="9" spans="1:8" x14ac:dyDescent="0.25">
      <c r="A9" s="78">
        <v>4</v>
      </c>
      <c r="B9" s="75" t="str">
        <v>Victot-en-Auge</v>
      </c>
      <c r="C9" s="81">
        <v>64</v>
      </c>
      <c r="D9" s="81" t="str">
        <v>P1 - Critique</v>
      </c>
      <c r="E9" s="85">
        <v>2</v>
      </c>
      <c r="F9" s="85">
        <v>6</v>
      </c>
      <c r="G9" s="85">
        <v>1</v>
      </c>
      <c r="H9" s="86">
        <f t="shared" si="0"/>
        <v>9</v>
      </c>
    </row>
    <row r="10" spans="1:8" x14ac:dyDescent="0.25">
      <c r="A10" s="78">
        <v>5</v>
      </c>
      <c r="B10" s="75" t="str">
        <v>Gonneville-sur-Mer</v>
      </c>
      <c r="C10" s="81">
        <v>63</v>
      </c>
      <c r="D10" s="81" t="str">
        <v>P1 - Critique</v>
      </c>
      <c r="E10" s="85">
        <v>0</v>
      </c>
      <c r="F10" s="85">
        <v>10</v>
      </c>
      <c r="G10" s="85">
        <v>2</v>
      </c>
      <c r="H10" s="86">
        <f t="shared" si="0"/>
        <v>12</v>
      </c>
    </row>
    <row r="11" spans="1:8" x14ac:dyDescent="0.25">
      <c r="A11" s="78">
        <v>6</v>
      </c>
      <c r="B11" s="75" t="str">
        <v>Dozulé</v>
      </c>
      <c r="C11" s="81">
        <v>59</v>
      </c>
      <c r="D11" s="81" t="str">
        <v>P1 - Critique</v>
      </c>
      <c r="E11" s="85">
        <v>3</v>
      </c>
      <c r="F11" s="85">
        <v>9</v>
      </c>
      <c r="G11" s="85">
        <v>1</v>
      </c>
      <c r="H11" s="86">
        <f t="shared" si="0"/>
        <v>13</v>
      </c>
    </row>
    <row r="12" spans="1:8" x14ac:dyDescent="0.25">
      <c r="A12" s="78">
        <v>7</v>
      </c>
      <c r="B12" s="75" t="str">
        <v>Dives-sur-Mer</v>
      </c>
      <c r="C12" s="81">
        <v>57</v>
      </c>
      <c r="D12" s="81" t="str">
        <v>P1 - Critique</v>
      </c>
      <c r="E12" s="85">
        <v>0</v>
      </c>
      <c r="F12" s="85">
        <v>3</v>
      </c>
      <c r="G12" s="85">
        <v>4</v>
      </c>
      <c r="H12" s="86">
        <f t="shared" si="0"/>
        <v>7</v>
      </c>
    </row>
    <row r="13" spans="1:8" x14ac:dyDescent="0.25">
      <c r="A13" s="78">
        <v>8</v>
      </c>
      <c r="B13" s="75" t="str">
        <v>Gonneville-en-Auge</v>
      </c>
      <c r="C13" s="81">
        <v>54</v>
      </c>
      <c r="D13" s="81" t="str">
        <v>P2 - Haute</v>
      </c>
      <c r="E13" s="85">
        <v>1</v>
      </c>
      <c r="F13" s="85">
        <v>3</v>
      </c>
      <c r="G13" s="85">
        <v>1</v>
      </c>
      <c r="H13" s="86">
        <f t="shared" si="0"/>
        <v>5</v>
      </c>
    </row>
    <row r="14" spans="1:8" x14ac:dyDescent="0.25">
      <c r="A14" s="78">
        <v>9</v>
      </c>
      <c r="B14" s="75" t="str">
        <v>Sallenelles</v>
      </c>
      <c r="C14" s="81">
        <v>49</v>
      </c>
      <c r="D14" s="81" t="str">
        <v>P2 - Haute</v>
      </c>
      <c r="E14" s="85">
        <v>1</v>
      </c>
      <c r="F14" s="85">
        <v>2</v>
      </c>
      <c r="G14" s="85">
        <v>1</v>
      </c>
      <c r="H14" s="86">
        <f t="shared" si="0"/>
        <v>4</v>
      </c>
    </row>
    <row r="15" spans="1:8" x14ac:dyDescent="0.25">
      <c r="A15" s="78">
        <v>10</v>
      </c>
      <c r="B15" s="75" t="str">
        <v>Varaville</v>
      </c>
      <c r="C15" s="81">
        <v>49</v>
      </c>
      <c r="D15" s="81" t="str">
        <v>P2 - Haute</v>
      </c>
      <c r="E15" s="85">
        <v>0</v>
      </c>
      <c r="F15" s="85">
        <v>4</v>
      </c>
      <c r="G15" s="85">
        <v>1</v>
      </c>
      <c r="H15" s="86">
        <f t="shared" si="0"/>
        <v>5</v>
      </c>
    </row>
    <row r="16" spans="1:8" x14ac:dyDescent="0.25">
      <c r="A16" s="78">
        <v>11</v>
      </c>
      <c r="B16" s="75" t="str">
        <v>Merville-Franceville-Plage</v>
      </c>
      <c r="C16" s="81">
        <v>48</v>
      </c>
      <c r="D16" s="81" t="str">
        <v>P2 - Haute</v>
      </c>
      <c r="E16" s="85">
        <v>0</v>
      </c>
      <c r="F16" s="85">
        <v>2</v>
      </c>
      <c r="G16" s="85">
        <v>2</v>
      </c>
      <c r="H16" s="86">
        <f t="shared" si="0"/>
        <v>4</v>
      </c>
    </row>
    <row r="17" spans="1:8" x14ac:dyDescent="0.25">
      <c r="A17" s="78">
        <v>12</v>
      </c>
      <c r="B17" s="75" t="str">
        <v>Angerville</v>
      </c>
      <c r="C17" s="81">
        <v>45</v>
      </c>
      <c r="D17" s="81" t="str">
        <v>P2 - Haute</v>
      </c>
      <c r="E17" s="85">
        <v>0</v>
      </c>
      <c r="F17" s="85">
        <v>4</v>
      </c>
      <c r="G17" s="85">
        <v>0</v>
      </c>
      <c r="H17" s="86">
        <f t="shared" si="0"/>
        <v>4</v>
      </c>
    </row>
    <row r="18" spans="1:8" x14ac:dyDescent="0.25">
      <c r="A18" s="78">
        <v>13</v>
      </c>
      <c r="B18" s="75" t="str">
        <v>Cricqueville-en-Auge</v>
      </c>
      <c r="C18" s="81">
        <v>45</v>
      </c>
      <c r="D18" s="81" t="str">
        <v>P2 - Haute</v>
      </c>
      <c r="E18" s="85">
        <v>1</v>
      </c>
      <c r="F18" s="85">
        <v>1</v>
      </c>
      <c r="G18" s="85">
        <v>0</v>
      </c>
      <c r="H18" s="86">
        <f t="shared" si="0"/>
        <v>2</v>
      </c>
    </row>
    <row r="19" spans="1:8" x14ac:dyDescent="0.25">
      <c r="A19" s="78">
        <v>14</v>
      </c>
      <c r="B19" s="75" t="str">
        <v>Rumesnil</v>
      </c>
      <c r="C19" s="81">
        <v>44</v>
      </c>
      <c r="D19" s="81" t="str">
        <v>P2 - Haute</v>
      </c>
      <c r="E19" s="85">
        <v>0</v>
      </c>
      <c r="F19" s="85">
        <v>2</v>
      </c>
      <c r="G19" s="85">
        <v>1</v>
      </c>
      <c r="H19" s="86">
        <f t="shared" si="0"/>
        <v>3</v>
      </c>
    </row>
    <row r="20" spans="1:8" x14ac:dyDescent="0.25">
      <c r="A20" s="78">
        <v>15</v>
      </c>
      <c r="B20" s="75" t="str">
        <v>Beuvron-en-Auge</v>
      </c>
      <c r="C20" s="81">
        <v>40</v>
      </c>
      <c r="D20" s="81" t="str">
        <v>P2 - Haute</v>
      </c>
      <c r="E20" s="85">
        <v>2</v>
      </c>
      <c r="F20" s="85">
        <v>2</v>
      </c>
      <c r="G20" s="85">
        <v>0</v>
      </c>
      <c r="H20" s="86">
        <f t="shared" si="0"/>
        <v>4</v>
      </c>
    </row>
    <row r="21" spans="1:8" x14ac:dyDescent="0.25">
      <c r="A21" s="78">
        <v>16</v>
      </c>
      <c r="B21" s="75" t="str">
        <v>Saint-Jouin</v>
      </c>
      <c r="C21" s="81">
        <v>40</v>
      </c>
      <c r="D21" s="81" t="str">
        <v>P2 - Haute</v>
      </c>
      <c r="E21" s="85">
        <v>1</v>
      </c>
      <c r="F21" s="85">
        <v>3</v>
      </c>
      <c r="G21" s="85">
        <v>0</v>
      </c>
      <c r="H21" s="86">
        <f t="shared" si="0"/>
        <v>4</v>
      </c>
    </row>
    <row r="22" spans="1:8" x14ac:dyDescent="0.25">
      <c r="A22" s="78">
        <v>17</v>
      </c>
      <c r="B22" s="75" t="str">
        <v>Douville-en-Auge</v>
      </c>
      <c r="C22" s="81">
        <v>39</v>
      </c>
      <c r="D22" s="81" t="str">
        <v>P3 - Moyenne</v>
      </c>
      <c r="E22" s="85">
        <v>0</v>
      </c>
      <c r="F22" s="85">
        <v>3</v>
      </c>
      <c r="G22" s="85">
        <v>1</v>
      </c>
      <c r="H22" s="86">
        <f t="shared" si="0"/>
        <v>4</v>
      </c>
    </row>
    <row r="23" spans="1:8" x14ac:dyDescent="0.25">
      <c r="A23" s="78">
        <v>18</v>
      </c>
      <c r="B23" s="75" t="str">
        <v>Beaufour-Druval</v>
      </c>
      <c r="C23" s="81">
        <v>35</v>
      </c>
      <c r="D23" s="81" t="str">
        <v>P3 - Moyenne</v>
      </c>
      <c r="E23" s="85">
        <v>1</v>
      </c>
      <c r="F23" s="85">
        <v>1</v>
      </c>
      <c r="G23" s="85">
        <v>0</v>
      </c>
      <c r="H23" s="86">
        <f t="shared" si="0"/>
        <v>2</v>
      </c>
    </row>
    <row r="24" spans="1:8" x14ac:dyDescent="0.25">
      <c r="A24" s="78">
        <v>19</v>
      </c>
      <c r="B24" s="75" t="str">
        <v>Cresseveuille</v>
      </c>
      <c r="C24" s="81">
        <v>34</v>
      </c>
      <c r="D24" s="81" t="str">
        <v>P3 - Moyenne</v>
      </c>
      <c r="E24" s="85">
        <v>0</v>
      </c>
      <c r="F24" s="85">
        <v>1</v>
      </c>
      <c r="G24" s="85">
        <v>1</v>
      </c>
      <c r="H24" s="86">
        <f t="shared" si="0"/>
        <v>2</v>
      </c>
    </row>
    <row r="25" spans="1:8" x14ac:dyDescent="0.25">
      <c r="A25" s="78">
        <v>20</v>
      </c>
      <c r="B25" s="75" t="str">
        <v>Amfreville</v>
      </c>
      <c r="C25" s="81">
        <v>33</v>
      </c>
      <c r="D25" s="81" t="str">
        <v>P3 - Moyenne</v>
      </c>
      <c r="E25" s="85">
        <v>1</v>
      </c>
      <c r="F25" s="85">
        <v>2</v>
      </c>
      <c r="G25" s="85">
        <v>2</v>
      </c>
      <c r="H25" s="86">
        <f t="shared" si="0"/>
        <v>5</v>
      </c>
    </row>
    <row r="26" spans="1:8" x14ac:dyDescent="0.25">
      <c r="A26" s="78">
        <v>21</v>
      </c>
      <c r="B26" s="75" t="str">
        <v>Hotot-en-Auge</v>
      </c>
      <c r="C26" s="81">
        <v>30</v>
      </c>
      <c r="D26" s="81" t="str">
        <v>P3 - Moyenne</v>
      </c>
      <c r="E26" s="85">
        <v>0</v>
      </c>
      <c r="F26" s="85">
        <v>0</v>
      </c>
      <c r="G26" s="85">
        <v>0</v>
      </c>
      <c r="H26" s="86">
        <f t="shared" si="0"/>
        <v>0</v>
      </c>
    </row>
    <row r="27" spans="1:8" x14ac:dyDescent="0.25">
      <c r="A27" s="78">
        <v>22</v>
      </c>
      <c r="B27" s="75" t="str">
        <v>Goustranville</v>
      </c>
      <c r="C27" s="81">
        <v>30</v>
      </c>
      <c r="D27" s="81" t="str">
        <v>P3 - Moyenne</v>
      </c>
      <c r="E27" s="85">
        <v>0</v>
      </c>
      <c r="F27" s="85">
        <v>1</v>
      </c>
      <c r="G27" s="85">
        <v>0</v>
      </c>
      <c r="H27" s="86">
        <f t="shared" si="0"/>
        <v>1</v>
      </c>
    </row>
    <row r="28" spans="1:8" x14ac:dyDescent="0.25">
      <c r="A28" s="78">
        <v>23</v>
      </c>
      <c r="B28" s="75" t="str">
        <v>Brucourt</v>
      </c>
      <c r="C28" s="81">
        <v>29</v>
      </c>
      <c r="D28" s="81" t="str">
        <v>P4 - Basse</v>
      </c>
      <c r="E28" s="85">
        <v>0</v>
      </c>
      <c r="F28" s="85">
        <v>3</v>
      </c>
      <c r="G28" s="85">
        <v>1</v>
      </c>
      <c r="H28" s="86">
        <f t="shared" si="0"/>
        <v>4</v>
      </c>
    </row>
    <row r="29" spans="1:8" x14ac:dyDescent="0.25">
      <c r="A29" s="78">
        <v>24</v>
      </c>
      <c r="B29" s="75" t="str">
        <v>Bavent</v>
      </c>
      <c r="C29" s="81">
        <v>28</v>
      </c>
      <c r="D29" s="81" t="str">
        <v>P4 - Basse</v>
      </c>
      <c r="E29" s="85">
        <v>0</v>
      </c>
      <c r="F29" s="85">
        <v>6</v>
      </c>
      <c r="G29" s="85">
        <v>2</v>
      </c>
      <c r="H29" s="86">
        <f t="shared" si="0"/>
        <v>8</v>
      </c>
    </row>
    <row r="30" spans="1:8" x14ac:dyDescent="0.25">
      <c r="A30" s="78">
        <v>25</v>
      </c>
      <c r="B30" s="75" t="str">
        <v>Basseneville</v>
      </c>
      <c r="C30" s="81">
        <v>25</v>
      </c>
      <c r="D30" s="81" t="str">
        <v>P4 - Basse</v>
      </c>
      <c r="E30" s="85">
        <v>0</v>
      </c>
      <c r="F30" s="85">
        <v>4</v>
      </c>
      <c r="G30" s="85">
        <v>0</v>
      </c>
      <c r="H30" s="86">
        <f t="shared" si="0"/>
        <v>4</v>
      </c>
    </row>
    <row r="31" spans="1:8" x14ac:dyDescent="0.25">
      <c r="A31" s="78">
        <v>26</v>
      </c>
      <c r="B31" s="75" t="str">
        <v>Putot-en-Auge</v>
      </c>
      <c r="C31" s="81">
        <v>25</v>
      </c>
      <c r="D31" s="81" t="str">
        <v>P4 - Basse</v>
      </c>
      <c r="E31" s="85">
        <v>1</v>
      </c>
      <c r="F31" s="85">
        <v>0</v>
      </c>
      <c r="G31" s="85">
        <v>0</v>
      </c>
      <c r="H31" s="86">
        <f t="shared" si="0"/>
        <v>1</v>
      </c>
    </row>
    <row r="32" spans="1:8" x14ac:dyDescent="0.25">
      <c r="A32" s="78">
        <v>27</v>
      </c>
      <c r="B32" s="75" t="str">
        <v>Ranville</v>
      </c>
      <c r="C32" s="81">
        <v>19</v>
      </c>
      <c r="D32" s="81" t="str">
        <v>P4 - Basse</v>
      </c>
      <c r="E32" s="85">
        <v>1</v>
      </c>
      <c r="F32" s="85">
        <v>0</v>
      </c>
      <c r="G32" s="85">
        <v>1</v>
      </c>
      <c r="H32" s="86">
        <f t="shared" si="0"/>
        <v>2</v>
      </c>
    </row>
    <row r="33" spans="1:8" x14ac:dyDescent="0.25">
      <c r="A33" s="78">
        <v>28</v>
      </c>
      <c r="B33" s="75" t="str">
        <v>Escoville</v>
      </c>
      <c r="C33" s="81">
        <v>15</v>
      </c>
      <c r="D33" s="81" t="str">
        <v>P4 - Basse</v>
      </c>
      <c r="E33" s="85">
        <v>1</v>
      </c>
      <c r="F33" s="85">
        <v>0</v>
      </c>
      <c r="G33" s="85">
        <v>0</v>
      </c>
      <c r="H33" s="86">
        <f t="shared" si="0"/>
        <v>1</v>
      </c>
    </row>
    <row r="34" spans="1:8" x14ac:dyDescent="0.25">
      <c r="A34" s="78">
        <v>29</v>
      </c>
      <c r="B34" s="75" t="str">
        <v>Auberville</v>
      </c>
      <c r="C34" s="81">
        <v>14</v>
      </c>
      <c r="D34" s="81" t="str">
        <v>P4 - Basse</v>
      </c>
      <c r="E34" s="85">
        <v>0</v>
      </c>
      <c r="F34" s="85">
        <v>2</v>
      </c>
      <c r="G34" s="85">
        <v>1</v>
      </c>
      <c r="H34" s="86">
        <f t="shared" si="0"/>
        <v>3</v>
      </c>
    </row>
    <row r="35" spans="1:8" x14ac:dyDescent="0.25">
      <c r="A35" s="78">
        <v>30</v>
      </c>
      <c r="B35" s="75" t="str">
        <v>Bréville-les-Monts</v>
      </c>
      <c r="C35" s="81">
        <v>14</v>
      </c>
      <c r="D35" s="81" t="str">
        <v>P4 - Basse</v>
      </c>
      <c r="E35" s="85">
        <v>0</v>
      </c>
      <c r="F35" s="85">
        <v>1</v>
      </c>
      <c r="G35" s="85">
        <v>1</v>
      </c>
      <c r="H35" s="86">
        <f t="shared" si="0"/>
        <v>2</v>
      </c>
    </row>
    <row r="36" spans="1:8" x14ac:dyDescent="0.25">
      <c r="A36" s="78">
        <v>31</v>
      </c>
      <c r="B36" s="75" t="str">
        <v>Heuland</v>
      </c>
      <c r="C36" s="81">
        <v>10</v>
      </c>
      <c r="D36" s="81" t="str">
        <v>P4 - Basse</v>
      </c>
      <c r="E36" s="85">
        <v>0</v>
      </c>
      <c r="F36" s="85">
        <v>1</v>
      </c>
      <c r="G36" s="85">
        <v>0</v>
      </c>
      <c r="H36" s="86">
        <f t="shared" si="0"/>
        <v>1</v>
      </c>
    </row>
    <row r="37" spans="1:8" x14ac:dyDescent="0.25">
      <c r="A37" s="78">
        <v>32</v>
      </c>
      <c r="B37" s="75" t="str">
        <v>Saint-Léger-Dubosq</v>
      </c>
      <c r="C37" s="81">
        <v>10</v>
      </c>
      <c r="D37" s="81" t="str">
        <v>P4 - Basse</v>
      </c>
      <c r="E37" s="85">
        <v>0</v>
      </c>
      <c r="F37" s="85">
        <v>1</v>
      </c>
      <c r="G37" s="85">
        <v>0</v>
      </c>
      <c r="H37" s="86">
        <f t="shared" si="0"/>
        <v>1</v>
      </c>
    </row>
    <row r="38" spans="1:8" x14ac:dyDescent="0.25">
      <c r="A38" s="78">
        <v>33</v>
      </c>
      <c r="B38" s="75" t="str">
        <v>Saint-Vaast-en-Auge</v>
      </c>
      <c r="C38" s="81">
        <v>4</v>
      </c>
      <c r="D38" s="81" t="str">
        <v>P4 - Basse</v>
      </c>
      <c r="E38" s="85">
        <v>0</v>
      </c>
      <c r="F38" s="85">
        <v>0</v>
      </c>
      <c r="G38" s="85">
        <v>1</v>
      </c>
      <c r="H38" s="86">
        <f t="shared" si="0"/>
        <v>1</v>
      </c>
    </row>
    <row r="39" spans="1:8" x14ac:dyDescent="0.25">
      <c r="A39" s="78">
        <v>34</v>
      </c>
      <c r="B39" s="75" t="str">
        <v>Hérouvillette</v>
      </c>
      <c r="C39" s="81">
        <v>0</v>
      </c>
      <c r="D39" s="81" t="str">
        <v>P4 - Basse</v>
      </c>
      <c r="E39" s="85">
        <v>0</v>
      </c>
      <c r="F39" s="85">
        <v>0</v>
      </c>
      <c r="G39" s="85">
        <v>0</v>
      </c>
      <c r="H39" s="86">
        <f t="shared" si="0"/>
        <v>0</v>
      </c>
    </row>
    <row r="40" spans="1:8" x14ac:dyDescent="0.25">
      <c r="A40" s="78">
        <v>35</v>
      </c>
      <c r="B40" s="75" t="str">
        <v>Périers-en-Auge</v>
      </c>
      <c r="C40" s="81">
        <v>0</v>
      </c>
      <c r="D40" s="81" t="str">
        <v>P4 - Basse</v>
      </c>
      <c r="E40" s="85">
        <v>0</v>
      </c>
      <c r="F40" s="85">
        <v>0</v>
      </c>
      <c r="G40" s="85">
        <v>0</v>
      </c>
      <c r="H40" s="86">
        <f t="shared" si="0"/>
        <v>0</v>
      </c>
    </row>
    <row r="41" spans="1:8" x14ac:dyDescent="0.25">
      <c r="A41" s="78">
        <v>36</v>
      </c>
      <c r="B41" s="75" t="str">
        <v>Petiville</v>
      </c>
      <c r="C41" s="81">
        <v>0</v>
      </c>
      <c r="D41" s="81" t="str">
        <v>P4 - Basse</v>
      </c>
      <c r="E41" s="85">
        <v>0</v>
      </c>
      <c r="F41" s="85">
        <v>0</v>
      </c>
      <c r="G41" s="85">
        <v>0</v>
      </c>
      <c r="H41" s="86">
        <f t="shared" si="0"/>
        <v>0</v>
      </c>
    </row>
    <row r="42" spans="1:8" x14ac:dyDescent="0.25">
      <c r="A42" s="78">
        <v>37</v>
      </c>
      <c r="B42" s="75" t="str">
        <v>Saint-Samson</v>
      </c>
      <c r="C42" s="81">
        <v>0</v>
      </c>
      <c r="D42" s="81" t="str">
        <v>P4 - Basse</v>
      </c>
      <c r="E42" s="85">
        <v>0</v>
      </c>
      <c r="F42" s="85">
        <v>0</v>
      </c>
      <c r="G42" s="85">
        <v>0</v>
      </c>
      <c r="H42" s="86">
        <f t="shared" si="0"/>
        <v>0</v>
      </c>
    </row>
    <row r="43" spans="1:8" x14ac:dyDescent="0.25">
      <c r="A43" s="79">
        <v>38</v>
      </c>
      <c r="B43" s="76" t="str">
        <v>Touffréville</v>
      </c>
      <c r="C43" s="82">
        <v>0</v>
      </c>
      <c r="D43" s="82" t="str">
        <v>P4 - Basse</v>
      </c>
      <c r="E43" s="87">
        <v>0</v>
      </c>
      <c r="F43" s="87">
        <v>0</v>
      </c>
      <c r="G43" s="87">
        <v>0</v>
      </c>
      <c r="H43" s="88">
        <f t="shared" si="0"/>
        <v>0</v>
      </c>
    </row>
    <row r="46" spans="1:8" ht="21.95" customHeight="1" x14ac:dyDescent="0.3">
      <c r="A46" s="124" t="s">
        <v>470</v>
      </c>
      <c r="B46" s="125"/>
      <c r="C46" s="125"/>
      <c r="D46" s="125"/>
      <c r="E46" s="125"/>
      <c r="F46" s="125"/>
      <c r="G46" s="125"/>
      <c r="H46" s="125"/>
    </row>
    <row r="47" spans="1:8" ht="33.950000000000003" customHeight="1" x14ac:dyDescent="0.25">
      <c r="A47" s="103" t="s">
        <v>471</v>
      </c>
      <c r="B47" s="104" t="s">
        <v>472</v>
      </c>
      <c r="C47" s="104" t="s">
        <v>440</v>
      </c>
      <c r="D47" s="104" t="s">
        <v>441</v>
      </c>
      <c r="E47" s="104" t="s">
        <v>468</v>
      </c>
      <c r="F47" s="105" t="s">
        <v>473</v>
      </c>
    </row>
    <row r="48" spans="1:8" x14ac:dyDescent="0.25">
      <c r="A48" s="95" t="s">
        <v>474</v>
      </c>
      <c r="B48" s="90">
        <f>COUNTIF($D$6:$D$43,$A48)</f>
        <v>7</v>
      </c>
      <c r="C48" s="90">
        <f>SUMIF($D$6:$D$43,$A48,E$6:E$43)</f>
        <v>9</v>
      </c>
      <c r="D48" s="90">
        <f>SUMIF($D$6:$D$43,$A48,F$6:F$43)</f>
        <v>44</v>
      </c>
      <c r="E48" s="90">
        <f>SUMIF($D$6:$D$43,$A48,G$6:G$43)</f>
        <v>12</v>
      </c>
      <c r="F48" s="91">
        <f>SUMIF($D$6:$D$43,$A48,H$6:H$43)</f>
        <v>65</v>
      </c>
    </row>
    <row r="49" spans="1:8" x14ac:dyDescent="0.25">
      <c r="A49" s="96" t="s">
        <v>475</v>
      </c>
      <c r="B49" s="90">
        <f t="shared" ref="B49:B51" si="1">COUNTIF($D$6:$D$43,$A49)</f>
        <v>9</v>
      </c>
      <c r="C49" s="90">
        <f t="shared" ref="C49:C51" si="2">SUMIF($D$6:$D$43,$A49,E$6:E$43)</f>
        <v>6</v>
      </c>
      <c r="D49" s="90">
        <f t="shared" ref="D49:D51" si="3">SUMIF($D$6:$D$43,$A49,F$6:F$43)</f>
        <v>23</v>
      </c>
      <c r="E49" s="90">
        <f t="shared" ref="E49:E51" si="4">SUMIF($D$6:$D$43,$A49,G$6:G$43)</f>
        <v>6</v>
      </c>
      <c r="F49" s="91">
        <f t="shared" ref="F49:F51" si="5">SUMIF($D$6:$D$43,$A49,H$6:H$43)</f>
        <v>35</v>
      </c>
    </row>
    <row r="50" spans="1:8" x14ac:dyDescent="0.25">
      <c r="A50" s="97" t="s">
        <v>476</v>
      </c>
      <c r="B50" s="90">
        <f t="shared" si="1"/>
        <v>6</v>
      </c>
      <c r="C50" s="90">
        <f t="shared" si="2"/>
        <v>2</v>
      </c>
      <c r="D50" s="90">
        <f t="shared" si="3"/>
        <v>8</v>
      </c>
      <c r="E50" s="90">
        <f t="shared" si="4"/>
        <v>4</v>
      </c>
      <c r="F50" s="91">
        <f t="shared" si="5"/>
        <v>14</v>
      </c>
    </row>
    <row r="51" spans="1:8" x14ac:dyDescent="0.25">
      <c r="A51" s="98" t="s">
        <v>477</v>
      </c>
      <c r="B51" s="90">
        <f t="shared" si="1"/>
        <v>16</v>
      </c>
      <c r="C51" s="90">
        <f t="shared" si="2"/>
        <v>3</v>
      </c>
      <c r="D51" s="90">
        <f t="shared" si="3"/>
        <v>18</v>
      </c>
      <c r="E51" s="90">
        <f t="shared" si="4"/>
        <v>7</v>
      </c>
      <c r="F51" s="91">
        <f t="shared" si="5"/>
        <v>28</v>
      </c>
    </row>
    <row r="52" spans="1:8" x14ac:dyDescent="0.25">
      <c r="A52" s="92" t="s">
        <v>124</v>
      </c>
      <c r="B52" s="93">
        <f>SUM(B48:B51)</f>
        <v>38</v>
      </c>
      <c r="C52" s="93">
        <f>SUM(C48:C51)</f>
        <v>20</v>
      </c>
      <c r="D52" s="93">
        <f>SUM(D48:D51)</f>
        <v>93</v>
      </c>
      <c r="E52" s="93">
        <f>SUM(E48:E51)</f>
        <v>29</v>
      </c>
      <c r="F52" s="94">
        <f>SUM(F48:F51)</f>
        <v>142</v>
      </c>
    </row>
    <row r="54" spans="1:8" x14ac:dyDescent="0.25">
      <c r="A54" s="89" t="s">
        <v>478</v>
      </c>
    </row>
    <row r="55" spans="1:8" ht="45.95" customHeight="1" x14ac:dyDescent="0.25">
      <c r="A55" s="99" t="s">
        <v>474</v>
      </c>
      <c r="B55" s="126" t="str" cm="1">
        <f t="array" ref="B55">_xlfn.TEXTJOIN(" / ",TRUE,_xlfn._xlws.FILTER($B$6:$B$43,$D$6:$D$43=$A55))</f>
        <v>Cabourg / Houlgate / Grangues / Victot-en-Auge / Gonneville-sur-Mer / Dozulé / Dives-sur-Mer</v>
      </c>
      <c r="C55" s="127"/>
      <c r="D55" s="127"/>
      <c r="E55" s="127"/>
      <c r="F55" s="127"/>
      <c r="G55" s="127"/>
      <c r="H55" s="127"/>
    </row>
    <row r="56" spans="1:8" ht="45.95" customHeight="1" x14ac:dyDescent="0.25">
      <c r="A56" s="100" t="s">
        <v>475</v>
      </c>
      <c r="B56" s="118" t="str" cm="1">
        <f t="array" ref="B56">_xlfn.TEXTJOIN(" / ",TRUE,_xlfn._xlws.FILTER($B$6:$B$43,$D$6:$D$43=$A56))</f>
        <v>Gonneville-en-Auge / Sallenelles / Varaville / Merville-Franceville-Plage / Angerville / Cricqueville-en-Auge / Rumesnil / Beuvron-en-Auge / Saint-Jouin</v>
      </c>
      <c r="C56" s="119"/>
      <c r="D56" s="119"/>
      <c r="E56" s="119"/>
      <c r="F56" s="119"/>
      <c r="G56" s="119"/>
      <c r="H56" s="119"/>
    </row>
    <row r="57" spans="1:8" ht="45.95" customHeight="1" x14ac:dyDescent="0.25">
      <c r="A57" s="101" t="s">
        <v>476</v>
      </c>
      <c r="B57" s="118" t="str" cm="1">
        <f t="array" ref="B57">_xlfn.TEXTJOIN(" / ",TRUE,_xlfn._xlws.FILTER($B$6:$B$43,$D$6:$D$43=$A57))</f>
        <v>Douville-en-Auge / Beaufour-Druval / Cresseveuille / Amfreville / Hotot-en-Auge / Goustranville</v>
      </c>
      <c r="C57" s="119"/>
      <c r="D57" s="119"/>
      <c r="E57" s="119"/>
      <c r="F57" s="119"/>
      <c r="G57" s="119"/>
      <c r="H57" s="119"/>
    </row>
    <row r="58" spans="1:8" ht="45.95" customHeight="1" x14ac:dyDescent="0.25">
      <c r="A58" s="102" t="s">
        <v>477</v>
      </c>
      <c r="B58" s="120" t="str" cm="1">
        <f t="array" ref="B58">_xlfn.TEXTJOIN(" / ",TRUE,_xlfn._xlws.FILTER($B$6:$B$43,$D$6:$D$43=$A58))</f>
        <v>Brucourt / Bavent / Basseneville / Putot-en-Auge / Ranville / Escoville / Auberville / Bréville-les-Monts / Heuland / Saint-Léger-Dubosq / Saint-Vaast-en-Auge / Hérouvillette / Périers-en-Auge / Petiville / Saint-Samson / Touffréville</v>
      </c>
      <c r="C58" s="121"/>
      <c r="D58" s="121"/>
      <c r="E58" s="121"/>
      <c r="F58" s="121"/>
      <c r="G58" s="121"/>
      <c r="H58" s="121"/>
    </row>
  </sheetData>
  <mergeCells count="8">
    <mergeCell ref="B57:H57"/>
    <mergeCell ref="B58:H58"/>
    <mergeCell ref="A1:H1"/>
    <mergeCell ref="A2:H2"/>
    <mergeCell ref="A4:H4"/>
    <mergeCell ref="A46:H46"/>
    <mergeCell ref="B55:H55"/>
    <mergeCell ref="B56:H56"/>
  </mergeCells>
  <conditionalFormatting sqref="D6:D43">
    <cfRule type="containsText" dxfId="10" priority="1" operator="containsText" text="P1 - Critique">
      <formula>NOT(ISERROR(SEARCH("P1 - Critique",D6)))</formula>
    </cfRule>
    <cfRule type="containsText" dxfId="9" priority="2" operator="containsText" text="P2 - Haute">
      <formula>NOT(ISERROR(SEARCH("P2 - Haute",D6)))</formula>
    </cfRule>
    <cfRule type="containsText" dxfId="8" priority="3" operator="containsText" text="P3 - Moyenne">
      <formula>NOT(ISERROR(SEARCH("P3 - Moyenne",D6)))</formula>
    </cfRule>
    <cfRule type="containsText" dxfId="7" priority="4" operator="containsText" text="P4 - Basse">
      <formula>NOT(ISERROR(SEARCH("P4 - Basse",D6)))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"/>
  <sheetViews>
    <sheetView topLeftCell="A3" zoomScale="85" zoomScaleNormal="85" workbookViewId="0">
      <selection activeCell="C9" sqref="C9"/>
    </sheetView>
  </sheetViews>
  <sheetFormatPr baseColWidth="10" defaultColWidth="10.5703125" defaultRowHeight="15" x14ac:dyDescent="0.25"/>
  <cols>
    <col min="1" max="1" width="19.7109375" customWidth="1"/>
    <col min="2" max="2" width="31.85546875" customWidth="1"/>
    <col min="3" max="3" width="25.5703125" customWidth="1"/>
    <col min="4" max="4" width="10" customWidth="1"/>
    <col min="5" max="5" width="13.85546875" customWidth="1"/>
    <col min="6" max="8" width="25.42578125" customWidth="1"/>
    <col min="9" max="9" width="23.85546875" customWidth="1"/>
    <col min="10" max="10" width="23.28515625" customWidth="1"/>
    <col min="11" max="11" width="18.7109375" customWidth="1"/>
    <col min="12" max="12" width="19.28515625" customWidth="1"/>
    <col min="13" max="13" width="28" customWidth="1"/>
    <col min="14" max="14" width="15.85546875" customWidth="1"/>
    <col min="15" max="15" width="17.42578125" customWidth="1"/>
    <col min="16" max="16" width="28" customWidth="1"/>
  </cols>
  <sheetData>
    <row r="1" spans="1:16" ht="168" customHeight="1" x14ac:dyDescent="0.25">
      <c r="G1" s="44" t="s">
        <v>391</v>
      </c>
    </row>
    <row r="2" spans="1:16" ht="57" customHeight="1" x14ac:dyDescent="0.25">
      <c r="A2" s="18" t="s">
        <v>119</v>
      </c>
      <c r="B2" s="18" t="s">
        <v>120</v>
      </c>
      <c r="C2" s="18" t="s">
        <v>76</v>
      </c>
      <c r="D2" s="18" t="s">
        <v>137</v>
      </c>
      <c r="E2" s="18" t="s">
        <v>138</v>
      </c>
      <c r="F2" s="18" t="s">
        <v>139</v>
      </c>
      <c r="G2" s="18" t="s">
        <v>140</v>
      </c>
      <c r="H2" s="18" t="s">
        <v>141</v>
      </c>
      <c r="I2" s="18" t="s">
        <v>142</v>
      </c>
      <c r="J2" s="18" t="s">
        <v>143</v>
      </c>
      <c r="K2" s="18" t="s">
        <v>144</v>
      </c>
      <c r="L2" s="18" t="s">
        <v>145</v>
      </c>
      <c r="M2" s="18" t="s">
        <v>146</v>
      </c>
      <c r="N2" s="18" t="s">
        <v>147</v>
      </c>
      <c r="O2" s="18" t="s">
        <v>148</v>
      </c>
      <c r="P2" s="19" t="s">
        <v>149</v>
      </c>
    </row>
    <row r="3" spans="1:16" ht="15.75" customHeight="1" x14ac:dyDescent="0.25">
      <c r="A3">
        <v>14009</v>
      </c>
      <c r="B3" t="s">
        <v>105</v>
      </c>
      <c r="C3" t="s">
        <v>91</v>
      </c>
      <c r="D3" t="s">
        <v>196</v>
      </c>
      <c r="E3" t="s">
        <v>197</v>
      </c>
      <c r="F3" s="21" t="str">
        <f t="shared" ref="F3:F34" si="0">+IFERROR(HYPERLINK("https://www.google.com/maps/search/?api=1&amp;query="&amp;D3&amp;","&amp;E3,"Voir sur Maps"),"")</f>
        <v>Voir sur Maps</v>
      </c>
      <c r="G3" s="22">
        <f>+VLOOKUP(TEXT(Tableau1[[#This Row],[Code INSEE]],"00000"),'[1]03_Déploiement_Prévu'!$A$3:$T$40,20,FALSE)</f>
        <v>4</v>
      </c>
      <c r="H3" s="22" t="str">
        <f>+IF(ISBLANK(VLOOKUP(Tableau1[[#This Row],[Code INSEE]],SYNTHESE_TRAVAUX!$A$2:$J$39,10,FALSE())),"")</f>
        <v/>
      </c>
      <c r="I3" s="20"/>
      <c r="J3" s="20"/>
      <c r="K3" s="20"/>
      <c r="L3" s="20"/>
      <c r="M3" s="20"/>
      <c r="N3" s="20"/>
      <c r="O3" s="23"/>
      <c r="P3" s="24"/>
    </row>
    <row r="4" spans="1:16" ht="15.75" customHeight="1" x14ac:dyDescent="0.25">
      <c r="A4">
        <v>14227</v>
      </c>
      <c r="B4" t="s">
        <v>95</v>
      </c>
      <c r="C4" t="s">
        <v>91</v>
      </c>
      <c r="D4" t="s">
        <v>198</v>
      </c>
      <c r="E4" t="s">
        <v>199</v>
      </c>
      <c r="F4" s="21" t="str">
        <f t="shared" si="0"/>
        <v>Voir sur Maps</v>
      </c>
      <c r="G4" s="22">
        <f>+VLOOKUP(TEXT(Tableau1[[#This Row],[Code INSEE]],"00000"),'[1]03_Déploiement_Prévu'!$A$3:$T$40,20,FALSE)</f>
        <v>2</v>
      </c>
      <c r="H4" s="22" t="str">
        <f>+IF(ISBLANK(VLOOKUP(Tableau1[[#This Row],[Code INSEE]],SYNTHESE_TRAVAUX!$A$2:$J$39,10,FALSE())),"")</f>
        <v/>
      </c>
      <c r="I4" s="20"/>
      <c r="J4" s="20"/>
      <c r="K4" s="20"/>
      <c r="L4" s="20"/>
      <c r="M4" s="20"/>
      <c r="N4" s="20"/>
      <c r="O4" s="23"/>
      <c r="P4" s="24"/>
    </row>
    <row r="5" spans="1:16" ht="15.75" customHeight="1" x14ac:dyDescent="0.25">
      <c r="A5">
        <v>14227</v>
      </c>
      <c r="B5" t="s">
        <v>95</v>
      </c>
      <c r="C5" t="s">
        <v>91</v>
      </c>
      <c r="D5" t="s">
        <v>200</v>
      </c>
      <c r="E5" t="s">
        <v>201</v>
      </c>
      <c r="F5" s="21" t="str">
        <f t="shared" si="0"/>
        <v>Voir sur Maps</v>
      </c>
      <c r="G5" s="22">
        <f>+VLOOKUP(TEXT(Tableau1[[#This Row],[Code INSEE]],"00000"),'[1]03_Déploiement_Prévu'!$A$3:$T$40,20,FALSE)</f>
        <v>2</v>
      </c>
      <c r="H5" s="22" t="str">
        <f>+IF(ISBLANK(VLOOKUP(Tableau1[[#This Row],[Code INSEE]],SYNTHESE_TRAVAUX!$A$2:$J$39,10,FALSE())),"")</f>
        <v/>
      </c>
      <c r="I5" s="20"/>
      <c r="J5" s="20"/>
      <c r="K5" s="20"/>
      <c r="L5" s="20"/>
      <c r="M5" s="20"/>
      <c r="N5" s="20"/>
      <c r="O5" s="23"/>
      <c r="P5" s="24"/>
    </row>
    <row r="6" spans="1:16" ht="15.75" customHeight="1" x14ac:dyDescent="0.25">
      <c r="A6">
        <v>14524</v>
      </c>
      <c r="B6" t="s">
        <v>103</v>
      </c>
      <c r="C6" t="s">
        <v>91</v>
      </c>
      <c r="D6" t="s">
        <v>202</v>
      </c>
      <c r="E6" t="s">
        <v>203</v>
      </c>
      <c r="F6" s="21" t="str">
        <f t="shared" si="0"/>
        <v>Voir sur Maps</v>
      </c>
      <c r="G6" s="22">
        <f>+VLOOKUP(TEXT(Tableau1[[#This Row],[Code INSEE]],"00000"),'[1]03_Déploiement_Prévu'!$A$3:$T$40,20,FALSE)</f>
        <v>3</v>
      </c>
      <c r="H6" s="22" t="str">
        <f>+IF(ISBLANK(VLOOKUP(Tableau1[[#This Row],[Code INSEE]],SYNTHESE_TRAVAUX!$A$2:$J$39,10,FALSE())),"")</f>
        <v/>
      </c>
      <c r="I6" s="20"/>
      <c r="J6" s="20"/>
      <c r="K6" s="20"/>
      <c r="L6" s="20"/>
      <c r="M6" s="20"/>
      <c r="N6" s="20"/>
      <c r="O6" s="23"/>
      <c r="P6" s="24"/>
    </row>
    <row r="7" spans="1:16" ht="15.75" customHeight="1" x14ac:dyDescent="0.25">
      <c r="A7">
        <v>14665</v>
      </c>
      <c r="B7" t="s">
        <v>90</v>
      </c>
      <c r="C7" t="s">
        <v>91</v>
      </c>
      <c r="D7" t="s">
        <v>204</v>
      </c>
      <c r="E7" t="s">
        <v>205</v>
      </c>
      <c r="F7" s="21" t="str">
        <f t="shared" si="0"/>
        <v>Voir sur Maps</v>
      </c>
      <c r="G7" s="22">
        <f>+VLOOKUP(TEXT(Tableau1[[#This Row],[Code INSEE]],"00000"),'[1]03_Déploiement_Prévu'!$A$3:$T$40,20,FALSE)</f>
        <v>1</v>
      </c>
      <c r="H7" s="22" t="str">
        <f>+IF(ISBLANK(VLOOKUP(Tableau1[[#This Row],[Code INSEE]],SYNTHESE_TRAVAUX!$A$2:$J$39,10,FALSE())),"")</f>
        <v/>
      </c>
      <c r="I7" s="20"/>
      <c r="J7" s="20"/>
      <c r="K7" s="20"/>
      <c r="L7" s="20"/>
      <c r="M7" s="20"/>
      <c r="N7" s="20"/>
      <c r="O7" s="23"/>
      <c r="P7" s="24"/>
    </row>
    <row r="8" spans="1:16" ht="15.75" customHeight="1" x14ac:dyDescent="0.25">
      <c r="A8">
        <v>14743</v>
      </c>
      <c r="B8" t="s">
        <v>136</v>
      </c>
      <c r="C8" t="s">
        <v>91</v>
      </c>
      <c r="D8" t="s">
        <v>392</v>
      </c>
      <c r="E8" t="s">
        <v>393</v>
      </c>
      <c r="F8" s="21" t="str">
        <f t="shared" si="0"/>
        <v>Voir sur Maps</v>
      </c>
      <c r="G8" s="22">
        <f>+VLOOKUP(TEXT(Tableau1[[#This Row],[Code INSEE]],"00000"),'[1]03_Déploiement_Prévu'!$A$3:$T$40,20,FALSE)</f>
        <v>1</v>
      </c>
      <c r="H8" s="22" t="str">
        <f>+IF(ISBLANK(VLOOKUP(Tableau1[[#This Row],[Code INSEE]],SYNTHESE_TRAVAUX!$A$2:$J$39,10,FALSE())),"")</f>
        <v/>
      </c>
      <c r="I8" s="20"/>
      <c r="J8" s="20"/>
      <c r="K8" s="20"/>
      <c r="L8" s="20"/>
      <c r="M8" s="20"/>
      <c r="N8" s="20"/>
      <c r="O8" s="23"/>
      <c r="P8" s="24"/>
    </row>
    <row r="9" spans="1:16" ht="15.75" customHeight="1" x14ac:dyDescent="0.25">
      <c r="A9">
        <v>14009</v>
      </c>
      <c r="B9" t="s">
        <v>105</v>
      </c>
      <c r="C9" t="s">
        <v>87</v>
      </c>
      <c r="D9" t="s">
        <v>150</v>
      </c>
      <c r="E9" t="s">
        <v>151</v>
      </c>
      <c r="F9" s="21" t="str">
        <f t="shared" si="0"/>
        <v>Voir sur Maps</v>
      </c>
      <c r="G9" s="22">
        <f>+VLOOKUP(TEXT(Tableau1[[#This Row],[Code INSEE]],"00000"),'[1]03_Déploiement_Prévu'!$A$3:$T$40,20,FALSE)</f>
        <v>4</v>
      </c>
      <c r="H9" s="22" t="str">
        <f>+IF(ISBLANK(VLOOKUP(Tableau1[[#This Row],[Code INSEE]],SYNTHESE_TRAVAUX!$A$2:$J$39,10,FALSE())),"")</f>
        <v/>
      </c>
      <c r="I9" s="20"/>
      <c r="J9" s="20"/>
      <c r="K9" s="20"/>
      <c r="L9" s="20"/>
      <c r="M9" s="20"/>
      <c r="N9" s="20"/>
      <c r="O9" s="23"/>
      <c r="P9" s="24"/>
    </row>
    <row r="10" spans="1:16" ht="15.75" customHeight="1" x14ac:dyDescent="0.25">
      <c r="A10">
        <v>14009</v>
      </c>
      <c r="B10" t="s">
        <v>105</v>
      </c>
      <c r="C10" t="s">
        <v>87</v>
      </c>
      <c r="D10" t="s">
        <v>152</v>
      </c>
      <c r="E10" t="s">
        <v>153</v>
      </c>
      <c r="F10" s="21" t="str">
        <f t="shared" si="0"/>
        <v>Voir sur Maps</v>
      </c>
      <c r="G10" s="22">
        <f>+VLOOKUP(TEXT(Tableau1[[#This Row],[Code INSEE]],"00000"),'[1]03_Déploiement_Prévu'!$A$3:$T$40,20,FALSE)</f>
        <v>4</v>
      </c>
      <c r="H10" s="22" t="str">
        <f>+IF(ISBLANK(VLOOKUP(Tableau1[[#This Row],[Code INSEE]],SYNTHESE_TRAVAUX!$A$2:$J$39,10,FALSE())),"")</f>
        <v/>
      </c>
      <c r="I10" s="20"/>
      <c r="J10" s="20"/>
      <c r="K10" s="20"/>
      <c r="L10" s="20"/>
      <c r="M10" s="20"/>
      <c r="N10" s="20"/>
      <c r="O10" s="23"/>
      <c r="P10" s="24"/>
    </row>
    <row r="11" spans="1:16" ht="15.75" customHeight="1" x14ac:dyDescent="0.25">
      <c r="A11">
        <v>14024</v>
      </c>
      <c r="B11" t="s">
        <v>106</v>
      </c>
      <c r="C11" t="s">
        <v>87</v>
      </c>
      <c r="D11" t="s">
        <v>154</v>
      </c>
      <c r="E11" t="s">
        <v>155</v>
      </c>
      <c r="F11" s="21" t="str">
        <f t="shared" si="0"/>
        <v>Voir sur Maps</v>
      </c>
      <c r="G11" s="22">
        <f>+VLOOKUP(TEXT(Tableau1[[#This Row],[Code INSEE]],"00000"),'[1]03_Déploiement_Prévu'!$A$3:$T$40,20,FALSE)</f>
        <v>4</v>
      </c>
      <c r="H11" s="22" t="str">
        <f>+IF(ISBLANK(VLOOKUP(Tableau1[[#This Row],[Code INSEE]],SYNTHESE_TRAVAUX!$A$2:$J$39,10,FALSE())),"")</f>
        <v/>
      </c>
      <c r="I11" s="20"/>
      <c r="J11" s="20"/>
      <c r="K11" s="20"/>
      <c r="L11" s="20"/>
      <c r="M11" s="20"/>
      <c r="N11" s="20"/>
      <c r="O11" s="23"/>
      <c r="P11" s="24"/>
    </row>
    <row r="12" spans="1:16" ht="15.75" customHeight="1" x14ac:dyDescent="0.25">
      <c r="A12">
        <v>14046</v>
      </c>
      <c r="B12" t="s">
        <v>107</v>
      </c>
      <c r="C12" t="s">
        <v>87</v>
      </c>
      <c r="D12" t="s">
        <v>156</v>
      </c>
      <c r="E12" t="s">
        <v>157</v>
      </c>
      <c r="F12" s="21" t="str">
        <f t="shared" si="0"/>
        <v>Voir sur Maps</v>
      </c>
      <c r="G12" s="22">
        <f>+VLOOKUP(TEXT(Tableau1[[#This Row],[Code INSEE]],"00000"),'[1]03_Déploiement_Prévu'!$A$3:$T$40,20,FALSE)</f>
        <v>4</v>
      </c>
      <c r="H12" s="22" t="str">
        <f>+IF(ISBLANK(VLOOKUP(Tableau1[[#This Row],[Code INSEE]],SYNTHESE_TRAVAUX!$A$2:$J$39,10,FALSE())),"")</f>
        <v/>
      </c>
      <c r="I12" s="20"/>
      <c r="J12" s="20"/>
      <c r="K12" s="20"/>
      <c r="L12" s="20"/>
      <c r="M12" s="20"/>
      <c r="N12" s="20"/>
      <c r="O12" s="23"/>
      <c r="P12" s="24"/>
    </row>
    <row r="13" spans="1:16" ht="15.75" customHeight="1" x14ac:dyDescent="0.25">
      <c r="A13">
        <v>14046</v>
      </c>
      <c r="B13" t="s">
        <v>107</v>
      </c>
      <c r="C13" t="s">
        <v>87</v>
      </c>
      <c r="D13" t="s">
        <v>158</v>
      </c>
      <c r="E13" t="s">
        <v>159</v>
      </c>
      <c r="F13" s="21" t="str">
        <f t="shared" si="0"/>
        <v>Voir sur Maps</v>
      </c>
      <c r="G13" s="22">
        <f>+VLOOKUP(TEXT(Tableau1[[#This Row],[Code INSEE]],"00000"),'[1]03_Déploiement_Prévu'!$A$3:$T$40,20,FALSE)</f>
        <v>4</v>
      </c>
      <c r="H13" s="22" t="str">
        <f>+IF(ISBLANK(VLOOKUP(Tableau1[[#This Row],[Code INSEE]],SYNTHESE_TRAVAUX!$A$2:$J$39,10,FALSE())),"")</f>
        <v/>
      </c>
      <c r="I13" s="20"/>
      <c r="J13" s="20"/>
      <c r="K13" s="20"/>
      <c r="L13" s="20"/>
      <c r="M13" s="20"/>
      <c r="N13" s="20"/>
      <c r="O13" s="23"/>
      <c r="P13" s="24"/>
    </row>
    <row r="14" spans="1:16" ht="15.75" customHeight="1" x14ac:dyDescent="0.25">
      <c r="A14">
        <v>14110</v>
      </c>
      <c r="B14" t="s">
        <v>102</v>
      </c>
      <c r="C14" t="s">
        <v>87</v>
      </c>
      <c r="D14" t="s">
        <v>160</v>
      </c>
      <c r="E14" t="s">
        <v>161</v>
      </c>
      <c r="F14" s="21" t="str">
        <f t="shared" si="0"/>
        <v>Voir sur Maps</v>
      </c>
      <c r="G14" s="22">
        <f>+VLOOKUP(TEXT(Tableau1[[#This Row],[Code INSEE]],"00000"),'[1]03_Déploiement_Prévu'!$A$3:$T$40,20,FALSE)</f>
        <v>3</v>
      </c>
      <c r="H14" s="22" t="str">
        <f>+IF(ISBLANK(VLOOKUP(Tableau1[[#This Row],[Code INSEE]],SYNTHESE_TRAVAUX!$A$2:$J$39,10,FALSE())),"")</f>
        <v/>
      </c>
      <c r="I14" s="20"/>
      <c r="J14" s="20"/>
      <c r="K14" s="20"/>
      <c r="L14" s="20"/>
      <c r="M14" s="20"/>
      <c r="N14" s="20"/>
      <c r="O14" s="23"/>
      <c r="P14" s="24"/>
    </row>
    <row r="15" spans="1:16" ht="15.75" customHeight="1" x14ac:dyDescent="0.25">
      <c r="A15">
        <v>14117</v>
      </c>
      <c r="B15" t="s">
        <v>109</v>
      </c>
      <c r="C15" t="s">
        <v>87</v>
      </c>
      <c r="D15" t="s">
        <v>162</v>
      </c>
      <c r="E15" t="s">
        <v>163</v>
      </c>
      <c r="F15" s="21" t="str">
        <f t="shared" si="0"/>
        <v>Voir sur Maps</v>
      </c>
      <c r="G15" s="22">
        <f>+VLOOKUP(TEXT(Tableau1[[#This Row],[Code INSEE]],"00000"),'[1]03_Déploiement_Prévu'!$A$3:$T$40,20,FALSE)</f>
        <v>4</v>
      </c>
      <c r="H15" s="22" t="str">
        <f>+IF(ISBLANK(VLOOKUP(Tableau1[[#This Row],[Code INSEE]],SYNTHESE_TRAVAUX!$A$2:$J$39,10,FALSE())),"")</f>
        <v/>
      </c>
      <c r="I15" s="20"/>
      <c r="J15" s="20"/>
      <c r="K15" s="20"/>
      <c r="L15" s="20"/>
      <c r="M15" s="20"/>
      <c r="N15" s="20"/>
      <c r="O15" s="23"/>
      <c r="P15" s="24"/>
    </row>
    <row r="16" spans="1:16" ht="15.75" customHeight="1" x14ac:dyDescent="0.25">
      <c r="A16">
        <v>14117</v>
      </c>
      <c r="B16" t="s">
        <v>109</v>
      </c>
      <c r="C16" t="s">
        <v>87</v>
      </c>
      <c r="D16" t="s">
        <v>164</v>
      </c>
      <c r="E16" t="s">
        <v>165</v>
      </c>
      <c r="F16" s="21" t="str">
        <f t="shared" si="0"/>
        <v>Voir sur Maps</v>
      </c>
      <c r="G16" s="22">
        <f>+VLOOKUP(TEXT(Tableau1[[#This Row],[Code INSEE]],"00000"),'[1]03_Déploiement_Prévu'!$A$3:$T$40,20,FALSE)</f>
        <v>4</v>
      </c>
      <c r="H16" s="22" t="str">
        <f>+IF(ISBLANK(VLOOKUP(Tableau1[[#This Row],[Code INSEE]],SYNTHESE_TRAVAUX!$A$2:$J$39,10,FALSE())),"")</f>
        <v/>
      </c>
      <c r="I16" s="20"/>
      <c r="J16" s="20"/>
      <c r="K16" s="20"/>
      <c r="L16" s="20"/>
      <c r="M16" s="20"/>
      <c r="N16" s="20"/>
      <c r="O16" s="23"/>
      <c r="P16" s="24"/>
    </row>
    <row r="17" spans="1:16" ht="15.75" customHeight="1" x14ac:dyDescent="0.25">
      <c r="A17">
        <v>14225</v>
      </c>
      <c r="B17" t="s">
        <v>110</v>
      </c>
      <c r="C17" t="s">
        <v>87</v>
      </c>
      <c r="D17" t="s">
        <v>166</v>
      </c>
      <c r="E17" t="s">
        <v>167</v>
      </c>
      <c r="F17" s="21" t="str">
        <f t="shared" si="0"/>
        <v>Voir sur Maps</v>
      </c>
      <c r="G17" s="22">
        <f>+VLOOKUP(TEXT(Tableau1[[#This Row],[Code INSEE]],"00000"),'[1]03_Déploiement_Prévu'!$A$3:$T$40,20,FALSE)</f>
        <v>4</v>
      </c>
      <c r="H17" s="22" t="str">
        <f>+IF(ISBLANK(VLOOKUP(Tableau1[[#This Row],[Code INSEE]],SYNTHESE_TRAVAUX!$A$2:$J$39,10,FALSE())),"")</f>
        <v/>
      </c>
      <c r="I17" s="20"/>
      <c r="J17" s="20"/>
      <c r="K17" s="20"/>
      <c r="L17" s="20"/>
      <c r="M17" s="20"/>
      <c r="N17" s="20"/>
      <c r="O17" s="23"/>
      <c r="P17" s="24"/>
    </row>
    <row r="18" spans="1:16" ht="15.75" customHeight="1" x14ac:dyDescent="0.25">
      <c r="A18">
        <v>14225</v>
      </c>
      <c r="B18" t="s">
        <v>110</v>
      </c>
      <c r="C18" t="s">
        <v>87</v>
      </c>
      <c r="D18" t="s">
        <v>168</v>
      </c>
      <c r="E18" t="s">
        <v>169</v>
      </c>
      <c r="F18" s="21" t="str">
        <f t="shared" si="0"/>
        <v>Voir sur Maps</v>
      </c>
      <c r="G18" s="22">
        <f>+VLOOKUP(TEXT(Tableau1[[#This Row],[Code INSEE]],"00000"),'[1]03_Déploiement_Prévu'!$A$3:$T$40,20,FALSE)</f>
        <v>4</v>
      </c>
      <c r="H18" s="22" t="str">
        <f>+IF(ISBLANK(VLOOKUP(Tableau1[[#This Row],[Code INSEE]],SYNTHESE_TRAVAUX!$A$2:$J$39,10,FALSE())),"")</f>
        <v/>
      </c>
      <c r="I18" s="20"/>
      <c r="J18" s="20"/>
      <c r="K18" s="20"/>
      <c r="L18" s="20"/>
      <c r="M18" s="20"/>
      <c r="N18" s="20"/>
      <c r="O18" s="23"/>
      <c r="P18" s="24"/>
    </row>
    <row r="19" spans="1:16" ht="15.75" customHeight="1" x14ac:dyDescent="0.25">
      <c r="A19">
        <v>14225</v>
      </c>
      <c r="B19" t="s">
        <v>110</v>
      </c>
      <c r="C19" t="s">
        <v>87</v>
      </c>
      <c r="D19" t="s">
        <v>170</v>
      </c>
      <c r="E19" t="s">
        <v>171</v>
      </c>
      <c r="F19" s="21" t="str">
        <f t="shared" si="0"/>
        <v>Voir sur Maps</v>
      </c>
      <c r="G19" s="22">
        <f>+VLOOKUP(TEXT(Tableau1[[#This Row],[Code INSEE]],"00000"),'[1]03_Déploiement_Prévu'!$A$3:$T$40,20,FALSE)</f>
        <v>4</v>
      </c>
      <c r="H19" s="22" t="str">
        <f>+IF(ISBLANK(VLOOKUP(Tableau1[[#This Row],[Code INSEE]],SYNTHESE_TRAVAUX!$A$2:$J$39,10,FALSE())),"")</f>
        <v/>
      </c>
      <c r="I19" s="20"/>
      <c r="J19" s="20"/>
      <c r="K19" s="20"/>
      <c r="L19" s="20"/>
      <c r="M19" s="20"/>
      <c r="N19" s="20"/>
      <c r="O19" s="23"/>
      <c r="P19" s="24"/>
    </row>
    <row r="20" spans="1:16" ht="15.75" customHeight="1" x14ac:dyDescent="0.25">
      <c r="A20">
        <v>14225</v>
      </c>
      <c r="B20" t="s">
        <v>110</v>
      </c>
      <c r="C20" t="s">
        <v>87</v>
      </c>
      <c r="D20" t="s">
        <v>172</v>
      </c>
      <c r="E20" t="s">
        <v>173</v>
      </c>
      <c r="F20" s="21" t="str">
        <f t="shared" si="0"/>
        <v>Voir sur Maps</v>
      </c>
      <c r="G20" s="22">
        <f>+VLOOKUP(TEXT(Tableau1[[#This Row],[Code INSEE]],"00000"),'[1]03_Déploiement_Prévu'!$A$3:$T$40,20,FALSE)</f>
        <v>4</v>
      </c>
      <c r="H20" s="22" t="str">
        <f>+IF(ISBLANK(VLOOKUP(Tableau1[[#This Row],[Code INSEE]],SYNTHESE_TRAVAUX!$A$2:$J$39,10,FALSE())),"")</f>
        <v/>
      </c>
      <c r="I20" s="20"/>
      <c r="J20" s="20"/>
      <c r="K20" s="20"/>
      <c r="L20" s="20"/>
      <c r="M20" s="20"/>
      <c r="N20" s="20"/>
      <c r="O20" s="23"/>
      <c r="P20" s="24"/>
    </row>
    <row r="21" spans="1:16" ht="15.75" customHeight="1" x14ac:dyDescent="0.25">
      <c r="A21">
        <v>14229</v>
      </c>
      <c r="B21" t="s">
        <v>86</v>
      </c>
      <c r="C21" t="s">
        <v>87</v>
      </c>
      <c r="D21" t="s">
        <v>174</v>
      </c>
      <c r="E21" t="s">
        <v>175</v>
      </c>
      <c r="F21" s="21" t="str">
        <f t="shared" si="0"/>
        <v>Voir sur Maps</v>
      </c>
      <c r="G21" s="22">
        <f>+VLOOKUP(TEXT(Tableau1[[#This Row],[Code INSEE]],"00000"),'[1]03_Déploiement_Prévu'!$A$3:$T$40,20,FALSE)</f>
        <v>1</v>
      </c>
      <c r="H21" s="22" t="str">
        <f>+IF(ISBLANK(VLOOKUP(Tableau1[[#This Row],[Code INSEE]],SYNTHESE_TRAVAUX!$A$2:$J$39,10,FALSE())),"")</f>
        <v/>
      </c>
      <c r="I21" s="20"/>
      <c r="J21" s="20"/>
      <c r="K21" s="20"/>
      <c r="L21" s="20"/>
      <c r="M21" s="20"/>
      <c r="N21" s="20"/>
      <c r="O21" s="23"/>
      <c r="P21" s="24"/>
    </row>
    <row r="22" spans="1:16" ht="15.75" customHeight="1" x14ac:dyDescent="0.25">
      <c r="A22">
        <v>14305</v>
      </c>
      <c r="B22" t="s">
        <v>88</v>
      </c>
      <c r="C22" t="s">
        <v>87</v>
      </c>
      <c r="D22" t="s">
        <v>176</v>
      </c>
      <c r="E22" t="s">
        <v>177</v>
      </c>
      <c r="F22" s="21" t="str">
        <f t="shared" si="0"/>
        <v>Voir sur Maps</v>
      </c>
      <c r="G22" s="22">
        <f>+VLOOKUP(TEXT(Tableau1[[#This Row],[Code INSEE]],"00000"),'[1]03_Déploiement_Prévu'!$A$3:$T$40,20,FALSE)</f>
        <v>1</v>
      </c>
      <c r="H22" s="22" t="str">
        <f>+IF(ISBLANK(VLOOKUP(Tableau1[[#This Row],[Code INSEE]],SYNTHESE_TRAVAUX!$A$2:$J$39,10,FALSE())),"")</f>
        <v/>
      </c>
      <c r="I22" s="20"/>
      <c r="J22" s="20"/>
      <c r="K22" s="20"/>
      <c r="L22" s="20"/>
      <c r="M22" s="20"/>
      <c r="N22" s="20"/>
      <c r="O22" s="23"/>
      <c r="P22" s="24"/>
    </row>
    <row r="23" spans="1:16" ht="15.75" customHeight="1" x14ac:dyDescent="0.25">
      <c r="A23">
        <v>14409</v>
      </c>
      <c r="B23" t="s">
        <v>113</v>
      </c>
      <c r="C23" t="s">
        <v>87</v>
      </c>
      <c r="D23" t="s">
        <v>178</v>
      </c>
      <c r="E23" t="s">
        <v>179</v>
      </c>
      <c r="F23" s="21" t="str">
        <f t="shared" si="0"/>
        <v>Voir sur Maps</v>
      </c>
      <c r="G23" s="22">
        <f>+VLOOKUP(TEXT(Tableau1[[#This Row],[Code INSEE]],"00000"),'[1]03_Déploiement_Prévu'!$A$3:$T$40,20,FALSE)</f>
        <v>4</v>
      </c>
      <c r="H23" s="22" t="str">
        <f>+IF(ISBLANK(VLOOKUP(Tableau1[[#This Row],[Code INSEE]],SYNTHESE_TRAVAUX!$A$2:$J$39,10,FALSE())),"")</f>
        <v/>
      </c>
      <c r="I23" s="20"/>
      <c r="J23" s="20"/>
      <c r="K23" s="20"/>
      <c r="L23" s="20"/>
      <c r="M23" s="20"/>
      <c r="N23" s="20"/>
      <c r="O23" s="23"/>
      <c r="P23" s="24"/>
    </row>
    <row r="24" spans="1:16" ht="15.75" customHeight="1" x14ac:dyDescent="0.25">
      <c r="A24">
        <v>14409</v>
      </c>
      <c r="B24" t="s">
        <v>113</v>
      </c>
      <c r="C24" t="s">
        <v>87</v>
      </c>
      <c r="D24" t="s">
        <v>180</v>
      </c>
      <c r="E24" t="s">
        <v>181</v>
      </c>
      <c r="F24" s="21" t="str">
        <f t="shared" si="0"/>
        <v>Voir sur Maps</v>
      </c>
      <c r="G24" s="22">
        <f>+VLOOKUP(TEXT(Tableau1[[#This Row],[Code INSEE]],"00000"),'[1]03_Déploiement_Prévu'!$A$3:$T$40,20,FALSE)</f>
        <v>4</v>
      </c>
      <c r="H24" s="22" t="str">
        <f>+IF(ISBLANK(VLOOKUP(Tableau1[[#This Row],[Code INSEE]],SYNTHESE_TRAVAUX!$A$2:$J$39,10,FALSE())),"")</f>
        <v/>
      </c>
      <c r="I24" s="20"/>
      <c r="J24" s="20"/>
      <c r="K24" s="20"/>
      <c r="L24" s="20"/>
      <c r="M24" s="20"/>
      <c r="N24" s="20"/>
      <c r="O24" s="23"/>
      <c r="P24" s="24"/>
    </row>
    <row r="25" spans="1:16" ht="15.75" customHeight="1" x14ac:dyDescent="0.25">
      <c r="A25">
        <v>14409</v>
      </c>
      <c r="B25" t="s">
        <v>113</v>
      </c>
      <c r="C25" t="s">
        <v>87</v>
      </c>
      <c r="D25" t="s">
        <v>182</v>
      </c>
      <c r="E25" t="s">
        <v>183</v>
      </c>
      <c r="F25" s="21" t="str">
        <f t="shared" si="0"/>
        <v>Voir sur Maps</v>
      </c>
      <c r="G25" s="22">
        <f>+VLOOKUP(TEXT(Tableau1[[#This Row],[Code INSEE]],"00000"),'[1]03_Déploiement_Prévu'!$A$3:$T$40,20,FALSE)</f>
        <v>4</v>
      </c>
      <c r="H25" s="22" t="str">
        <f>+IF(ISBLANK(VLOOKUP(Tableau1[[#This Row],[Code INSEE]],SYNTHESE_TRAVAUX!$A$2:$J$39,10,FALSE())),"")</f>
        <v/>
      </c>
      <c r="I25" s="20"/>
      <c r="J25" s="20"/>
      <c r="K25" s="20"/>
      <c r="L25" s="20"/>
      <c r="M25" s="20"/>
      <c r="N25" s="20"/>
      <c r="O25" s="23"/>
      <c r="P25" s="24"/>
    </row>
    <row r="26" spans="1:16" ht="15.75" customHeight="1" x14ac:dyDescent="0.25">
      <c r="A26">
        <v>14530</v>
      </c>
      <c r="B26" t="s">
        <v>114</v>
      </c>
      <c r="C26" t="s">
        <v>87</v>
      </c>
      <c r="D26" t="s">
        <v>184</v>
      </c>
      <c r="E26" t="s">
        <v>185</v>
      </c>
      <c r="F26" s="21" t="str">
        <f t="shared" si="0"/>
        <v>Voir sur Maps</v>
      </c>
      <c r="G26" s="22">
        <f>+VLOOKUP(TEXT(Tableau1[[#This Row],[Code INSEE]],"00000"),'[1]03_Déploiement_Prévu'!$A$3:$T$40,20,FALSE)</f>
        <v>4</v>
      </c>
      <c r="H26" s="22" t="str">
        <f>+IF(ISBLANK(VLOOKUP(Tableau1[[#This Row],[Code INSEE]],SYNTHESE_TRAVAUX!$A$2:$J$39,10,FALSE())),"")</f>
        <v/>
      </c>
      <c r="I26" s="20"/>
      <c r="J26" s="20"/>
      <c r="K26" s="20"/>
      <c r="L26" s="20"/>
      <c r="M26" s="20"/>
      <c r="N26" s="20"/>
      <c r="O26" s="23"/>
      <c r="P26" s="24"/>
    </row>
    <row r="27" spans="1:16" ht="15.75" customHeight="1" x14ac:dyDescent="0.25">
      <c r="A27">
        <v>14550</v>
      </c>
      <c r="B27" t="s">
        <v>89</v>
      </c>
      <c r="C27" t="s">
        <v>87</v>
      </c>
      <c r="D27" t="s">
        <v>186</v>
      </c>
      <c r="E27" t="s">
        <v>187</v>
      </c>
      <c r="F27" s="21" t="str">
        <f t="shared" si="0"/>
        <v>Voir sur Maps</v>
      </c>
      <c r="G27" s="22">
        <f>+VLOOKUP(TEXT(Tableau1[[#This Row],[Code INSEE]],"00000"),'[1]03_Déploiement_Prévu'!$A$3:$T$40,20,FALSE)</f>
        <v>1</v>
      </c>
      <c r="H27" s="22" t="str">
        <f>+IF(ISBLANK(VLOOKUP(Tableau1[[#This Row],[Code INSEE]],SYNTHESE_TRAVAUX!$A$2:$J$39,10,FALSE())),"")</f>
        <v/>
      </c>
      <c r="I27" s="20"/>
      <c r="J27" s="20"/>
      <c r="K27" s="20"/>
      <c r="L27" s="20"/>
      <c r="M27" s="20"/>
      <c r="N27" s="20"/>
      <c r="O27" s="23"/>
      <c r="P27" s="24"/>
    </row>
    <row r="28" spans="1:16" ht="15.75" customHeight="1" x14ac:dyDescent="0.25">
      <c r="A28">
        <v>14660</v>
      </c>
      <c r="B28" t="s">
        <v>116</v>
      </c>
      <c r="C28" t="s">
        <v>87</v>
      </c>
      <c r="D28" t="s">
        <v>188</v>
      </c>
      <c r="E28" t="s">
        <v>189</v>
      </c>
      <c r="F28" s="21" t="str">
        <f t="shared" si="0"/>
        <v>Voir sur Maps</v>
      </c>
      <c r="G28" s="22">
        <f>+VLOOKUP(TEXT(Tableau1[[#This Row],[Code INSEE]],"00000"),'[1]03_Déploiement_Prévu'!$A$3:$T$40,20,FALSE)</f>
        <v>4</v>
      </c>
      <c r="H28" s="22" t="str">
        <f>+IF(ISBLANK(VLOOKUP(Tableau1[[#This Row],[Code INSEE]],SYNTHESE_TRAVAUX!$A$2:$J$39,10,FALSE())),"")</f>
        <v/>
      </c>
      <c r="I28" s="20"/>
      <c r="J28" s="20"/>
      <c r="K28" s="20"/>
      <c r="L28" s="20"/>
      <c r="M28" s="20"/>
      <c r="N28" s="20"/>
      <c r="O28" s="23"/>
      <c r="P28" s="24"/>
    </row>
    <row r="29" spans="1:16" ht="15.75" customHeight="1" x14ac:dyDescent="0.25">
      <c r="A29">
        <v>14665</v>
      </c>
      <c r="B29" t="s">
        <v>90</v>
      </c>
      <c r="C29" t="s">
        <v>87</v>
      </c>
      <c r="D29" t="s">
        <v>190</v>
      </c>
      <c r="E29" t="s">
        <v>191</v>
      </c>
      <c r="F29" s="21" t="str">
        <f t="shared" si="0"/>
        <v>Voir sur Maps</v>
      </c>
      <c r="G29" s="22">
        <f>+VLOOKUP(TEXT(Tableau1[[#This Row],[Code INSEE]],"00000"),'[1]03_Déploiement_Prévu'!$A$3:$T$40,20,FALSE)</f>
        <v>1</v>
      </c>
      <c r="H29" s="22" t="str">
        <f>+IF(ISBLANK(VLOOKUP(Tableau1[[#This Row],[Code INSEE]],SYNTHESE_TRAVAUX!$A$2:$J$39,10,FALSE())),"")</f>
        <v/>
      </c>
      <c r="I29" s="20"/>
      <c r="J29" s="20"/>
      <c r="K29" s="20"/>
      <c r="L29" s="20"/>
      <c r="M29" s="20"/>
      <c r="N29" s="20"/>
      <c r="O29" s="23"/>
      <c r="P29" s="24"/>
    </row>
    <row r="30" spans="1:16" ht="15.75" customHeight="1" x14ac:dyDescent="0.25">
      <c r="A30">
        <v>14724</v>
      </c>
      <c r="B30" t="s">
        <v>117</v>
      </c>
      <c r="C30" t="s">
        <v>87</v>
      </c>
      <c r="D30" t="s">
        <v>192</v>
      </c>
      <c r="E30" t="s">
        <v>193</v>
      </c>
      <c r="F30" s="21" t="str">
        <f t="shared" si="0"/>
        <v>Voir sur Maps</v>
      </c>
      <c r="G30" s="22">
        <f>+VLOOKUP(TEXT(Tableau1[[#This Row],[Code INSEE]],"00000"),'[1]03_Déploiement_Prévu'!$A$3:$T$40,20,FALSE)</f>
        <v>4</v>
      </c>
      <c r="H30" s="22" t="str">
        <f>+IF(ISBLANK(VLOOKUP(Tableau1[[#This Row],[Code INSEE]],SYNTHESE_TRAVAUX!$A$2:$J$39,10,FALSE())),"")</f>
        <v/>
      </c>
      <c r="I30" s="20"/>
      <c r="J30" s="20"/>
      <c r="K30" s="20"/>
      <c r="L30" s="20"/>
      <c r="M30" s="20"/>
      <c r="N30" s="20"/>
      <c r="O30" s="23"/>
      <c r="P30" s="24"/>
    </row>
    <row r="31" spans="1:16" ht="15.75" customHeight="1" x14ac:dyDescent="0.25">
      <c r="A31">
        <v>14743</v>
      </c>
      <c r="B31" t="s">
        <v>92</v>
      </c>
      <c r="C31" t="s">
        <v>87</v>
      </c>
      <c r="D31" t="s">
        <v>194</v>
      </c>
      <c r="E31" t="s">
        <v>195</v>
      </c>
      <c r="F31" s="21" t="str">
        <f t="shared" si="0"/>
        <v>Voir sur Maps</v>
      </c>
      <c r="G31" s="22">
        <f>+VLOOKUP(TEXT(Tableau1[[#This Row],[Code INSEE]],"00000"),'[1]03_Déploiement_Prévu'!$A$3:$T$40,20,FALSE)</f>
        <v>1</v>
      </c>
      <c r="H31" s="22" t="str">
        <f>+IF(ISBLANK(VLOOKUP(Tableau1[[#This Row],[Code INSEE]],SYNTHESE_TRAVAUX!$A$2:$J$39,10,FALSE())),"")</f>
        <v/>
      </c>
      <c r="I31" s="20"/>
      <c r="J31" s="20"/>
      <c r="K31" s="20"/>
      <c r="L31" s="20"/>
      <c r="M31" s="20"/>
      <c r="N31" s="20"/>
      <c r="O31" s="23"/>
      <c r="P31" s="24"/>
    </row>
    <row r="32" spans="1:16" ht="15.75" customHeight="1" x14ac:dyDescent="0.25">
      <c r="A32">
        <v>14009</v>
      </c>
      <c r="B32" t="s">
        <v>105</v>
      </c>
      <c r="C32" t="s">
        <v>85</v>
      </c>
      <c r="D32" t="s">
        <v>214</v>
      </c>
      <c r="E32" t="s">
        <v>215</v>
      </c>
      <c r="F32" s="21" t="str">
        <f t="shared" si="0"/>
        <v>Voir sur Maps</v>
      </c>
      <c r="G32" s="22">
        <f>+VLOOKUP(TEXT(Tableau1[[#This Row],[Code INSEE]],"00000"),'[1]03_Déploiement_Prévu'!$A$3:$T$40,20,FALSE)</f>
        <v>4</v>
      </c>
      <c r="H32" s="22" t="str">
        <f>+IF(ISBLANK(VLOOKUP(Tableau1[[#This Row],[Code INSEE]],SYNTHESE_TRAVAUX!$A$2:$J$39,10,FALSE())),"")</f>
        <v/>
      </c>
      <c r="I32" s="20"/>
      <c r="J32" s="20"/>
      <c r="K32" s="20"/>
      <c r="L32" s="20"/>
      <c r="M32" s="20"/>
      <c r="N32" s="20"/>
      <c r="O32" s="23"/>
      <c r="P32" s="24"/>
    </row>
    <row r="33" spans="1:16" ht="15.75" customHeight="1" x14ac:dyDescent="0.25">
      <c r="A33">
        <v>14009</v>
      </c>
      <c r="B33" t="s">
        <v>105</v>
      </c>
      <c r="C33" t="s">
        <v>85</v>
      </c>
      <c r="D33" t="s">
        <v>214</v>
      </c>
      <c r="E33" t="s">
        <v>215</v>
      </c>
      <c r="F33" s="21" t="str">
        <f t="shared" si="0"/>
        <v>Voir sur Maps</v>
      </c>
      <c r="G33" s="22">
        <f>+VLOOKUP(TEXT(Tableau1[[#This Row],[Code INSEE]],"00000"),'[1]03_Déploiement_Prévu'!$A$3:$T$40,20,FALSE)</f>
        <v>4</v>
      </c>
      <c r="H33" s="22" t="str">
        <f>+IF(ISBLANK(VLOOKUP(Tableau1[[#This Row],[Code INSEE]],SYNTHESE_TRAVAUX!$A$2:$J$39,10,FALSE())),"")</f>
        <v/>
      </c>
      <c r="I33" s="20"/>
      <c r="J33" s="20"/>
      <c r="K33" s="20"/>
      <c r="L33" s="20"/>
      <c r="M33" s="20"/>
      <c r="N33" s="20"/>
      <c r="O33" s="23"/>
      <c r="P33" s="24"/>
    </row>
    <row r="34" spans="1:16" ht="15.75" customHeight="1" x14ac:dyDescent="0.25">
      <c r="A34">
        <v>14012</v>
      </c>
      <c r="B34" t="s">
        <v>84</v>
      </c>
      <c r="C34" t="s">
        <v>85</v>
      </c>
      <c r="D34" t="s">
        <v>259</v>
      </c>
      <c r="E34" t="s">
        <v>260</v>
      </c>
      <c r="F34" s="21" t="str">
        <f t="shared" si="0"/>
        <v>Voir sur Maps</v>
      </c>
      <c r="G34" s="22">
        <f>+VLOOKUP(TEXT(Tableau1[[#This Row],[Code INSEE]],"00000"),'[1]03_Déploiement_Prévu'!$A$3:$T$40,20,FALSE)</f>
        <v>1</v>
      </c>
      <c r="H34" s="22" t="str">
        <f>+IF(ISBLANK(VLOOKUP(Tableau1[[#This Row],[Code INSEE]],SYNTHESE_TRAVAUX!$A$2:$J$39,10,FALSE())),"")</f>
        <v/>
      </c>
      <c r="I34" s="20"/>
      <c r="J34" s="20"/>
      <c r="K34" s="20"/>
      <c r="L34" s="20"/>
      <c r="M34" s="20"/>
      <c r="N34" s="20"/>
      <c r="O34" s="23"/>
      <c r="P34" s="24"/>
    </row>
    <row r="35" spans="1:16" ht="15.75" customHeight="1" x14ac:dyDescent="0.25">
      <c r="A35">
        <v>14012</v>
      </c>
      <c r="B35" t="s">
        <v>84</v>
      </c>
      <c r="C35" t="s">
        <v>85</v>
      </c>
      <c r="D35" t="s">
        <v>261</v>
      </c>
      <c r="E35" t="s">
        <v>262</v>
      </c>
      <c r="F35" s="21" t="str">
        <f t="shared" ref="F35:F66" si="1">+IFERROR(HYPERLINK("https://www.google.com/maps/search/?api=1&amp;query="&amp;D35&amp;","&amp;E35,"Voir sur Maps"),"")</f>
        <v>Voir sur Maps</v>
      </c>
      <c r="G35" s="22">
        <f>+VLOOKUP(TEXT(Tableau1[[#This Row],[Code INSEE]],"00000"),'[1]03_Déploiement_Prévu'!$A$3:$T$40,20,FALSE)</f>
        <v>1</v>
      </c>
      <c r="H35" s="22" t="str">
        <f>+IF(ISBLANK(VLOOKUP(Tableau1[[#This Row],[Code INSEE]],SYNTHESE_TRAVAUX!$A$2:$J$39,10,FALSE())),"")</f>
        <v/>
      </c>
      <c r="I35" s="20"/>
      <c r="J35" s="20"/>
      <c r="K35" s="20"/>
      <c r="L35" s="20"/>
      <c r="M35" s="20"/>
      <c r="N35" s="20"/>
      <c r="O35" s="23"/>
      <c r="P35" s="24"/>
    </row>
    <row r="36" spans="1:16" ht="15.75" customHeight="1" x14ac:dyDescent="0.25">
      <c r="A36">
        <v>14012</v>
      </c>
      <c r="B36" t="s">
        <v>84</v>
      </c>
      <c r="C36" t="s">
        <v>85</v>
      </c>
      <c r="D36" t="s">
        <v>263</v>
      </c>
      <c r="E36" t="s">
        <v>264</v>
      </c>
      <c r="F36" s="21" t="str">
        <f t="shared" si="1"/>
        <v>Voir sur Maps</v>
      </c>
      <c r="G36" s="22">
        <f>+VLOOKUP(TEXT(Tableau1[[#This Row],[Code INSEE]],"00000"),'[1]03_Déploiement_Prévu'!$A$3:$T$40,20,FALSE)</f>
        <v>1</v>
      </c>
      <c r="H36" s="22" t="str">
        <f>+IF(ISBLANK(VLOOKUP(Tableau1[[#This Row],[Code INSEE]],SYNTHESE_TRAVAUX!$A$2:$J$39,10,FALSE())),"")</f>
        <v/>
      </c>
      <c r="I36" s="20"/>
      <c r="J36" s="20"/>
      <c r="K36" s="20"/>
      <c r="L36" s="20"/>
      <c r="M36" s="20"/>
      <c r="N36" s="20"/>
      <c r="O36" s="23"/>
      <c r="P36" s="24"/>
    </row>
    <row r="37" spans="1:16" ht="15.75" customHeight="1" x14ac:dyDescent="0.25">
      <c r="A37">
        <v>14024</v>
      </c>
      <c r="B37" t="s">
        <v>106</v>
      </c>
      <c r="C37" t="s">
        <v>85</v>
      </c>
      <c r="D37" t="s">
        <v>265</v>
      </c>
      <c r="E37" t="s">
        <v>266</v>
      </c>
      <c r="F37" s="21" t="str">
        <f t="shared" si="1"/>
        <v>Voir sur Maps</v>
      </c>
      <c r="G37" s="22">
        <f>+VLOOKUP(TEXT(Tableau1[[#This Row],[Code INSEE]],"00000"),'[1]03_Déploiement_Prévu'!$A$3:$T$40,20,FALSE)</f>
        <v>4</v>
      </c>
      <c r="H37" s="22" t="str">
        <f>+IF(ISBLANK(VLOOKUP(Tableau1[[#This Row],[Code INSEE]],SYNTHESE_TRAVAUX!$A$2:$J$39,10,FALSE())),"")</f>
        <v/>
      </c>
      <c r="I37" s="20"/>
      <c r="J37" s="20"/>
      <c r="K37" s="20"/>
      <c r="L37" s="20"/>
      <c r="M37" s="20"/>
      <c r="N37" s="20"/>
      <c r="O37" s="23"/>
      <c r="P37" s="24"/>
    </row>
    <row r="38" spans="1:16" ht="15.75" customHeight="1" x14ac:dyDescent="0.25">
      <c r="A38">
        <v>14024</v>
      </c>
      <c r="B38" t="s">
        <v>106</v>
      </c>
      <c r="C38" t="s">
        <v>85</v>
      </c>
      <c r="D38" t="s">
        <v>267</v>
      </c>
      <c r="E38" t="s">
        <v>268</v>
      </c>
      <c r="F38" s="21" t="str">
        <f t="shared" si="1"/>
        <v>Voir sur Maps</v>
      </c>
      <c r="G38" s="22">
        <f>+VLOOKUP(TEXT(Tableau1[[#This Row],[Code INSEE]],"00000"),'[1]03_Déploiement_Prévu'!$A$3:$T$40,20,FALSE)</f>
        <v>4</v>
      </c>
      <c r="H38" s="22" t="str">
        <f>+IF(ISBLANK(VLOOKUP(Tableau1[[#This Row],[Code INSEE]],SYNTHESE_TRAVAUX!$A$2:$J$39,10,FALSE())),"")</f>
        <v/>
      </c>
      <c r="I38" s="20"/>
      <c r="J38" s="20"/>
      <c r="K38" s="20"/>
      <c r="L38" s="20"/>
      <c r="M38" s="20"/>
      <c r="N38" s="20"/>
      <c r="O38" s="23"/>
      <c r="P38" s="24"/>
    </row>
    <row r="39" spans="1:16" ht="15.75" customHeight="1" x14ac:dyDescent="0.25">
      <c r="A39">
        <v>14024</v>
      </c>
      <c r="B39" t="s">
        <v>106</v>
      </c>
      <c r="C39" t="s">
        <v>85</v>
      </c>
      <c r="D39" t="s">
        <v>216</v>
      </c>
      <c r="E39" t="s">
        <v>217</v>
      </c>
      <c r="F39" s="21" t="str">
        <f t="shared" si="1"/>
        <v>Voir sur Maps</v>
      </c>
      <c r="G39" s="22">
        <f>+VLOOKUP(TEXT(Tableau1[[#This Row],[Code INSEE]],"00000"),'[1]03_Déploiement_Prévu'!$A$3:$T$40,20,FALSE)</f>
        <v>4</v>
      </c>
      <c r="H39" s="22" t="str">
        <f>+IF(ISBLANK(VLOOKUP(Tableau1[[#This Row],[Code INSEE]],SYNTHESE_TRAVAUX!$A$2:$J$39,10,FALSE())),"")</f>
        <v/>
      </c>
      <c r="I39" s="20"/>
      <c r="J39" s="20"/>
      <c r="K39" s="20"/>
      <c r="L39" s="20"/>
      <c r="M39" s="20"/>
      <c r="N39" s="20"/>
      <c r="O39" s="23"/>
      <c r="P39" s="24"/>
    </row>
    <row r="40" spans="1:16" ht="15.75" customHeight="1" x14ac:dyDescent="0.25">
      <c r="A40">
        <v>14045</v>
      </c>
      <c r="B40" t="s">
        <v>99</v>
      </c>
      <c r="C40" t="s">
        <v>85</v>
      </c>
      <c r="D40" t="s">
        <v>269</v>
      </c>
      <c r="E40" t="s">
        <v>270</v>
      </c>
      <c r="F40" s="21" t="str">
        <f t="shared" si="1"/>
        <v>Voir sur Maps</v>
      </c>
      <c r="G40" s="22">
        <f>+VLOOKUP(TEXT(Tableau1[[#This Row],[Code INSEE]],"00000"),'[1]03_Déploiement_Prévu'!$A$3:$T$40,20,FALSE)</f>
        <v>3</v>
      </c>
      <c r="H40" s="22" t="str">
        <f>+IF(ISBLANK(VLOOKUP(Tableau1[[#This Row],[Code INSEE]],SYNTHESE_TRAVAUX!$A$2:$J$39,10,FALSE())),"")</f>
        <v/>
      </c>
      <c r="I40" s="20"/>
      <c r="J40" s="20"/>
      <c r="K40" s="20"/>
      <c r="L40" s="20"/>
      <c r="M40" s="20"/>
      <c r="N40" s="20"/>
      <c r="O40" s="23"/>
      <c r="P40" s="24"/>
    </row>
    <row r="41" spans="1:16" ht="15.75" customHeight="1" x14ac:dyDescent="0.25">
      <c r="A41">
        <v>14046</v>
      </c>
      <c r="B41" t="s">
        <v>107</v>
      </c>
      <c r="C41" t="s">
        <v>85</v>
      </c>
      <c r="D41" t="s">
        <v>271</v>
      </c>
      <c r="E41" t="s">
        <v>272</v>
      </c>
      <c r="F41" s="21" t="str">
        <f t="shared" si="1"/>
        <v>Voir sur Maps</v>
      </c>
      <c r="G41" s="22">
        <f>+VLOOKUP(TEXT(Tableau1[[#This Row],[Code INSEE]],"00000"),'[1]03_Déploiement_Prévu'!$A$3:$T$40,20,FALSE)</f>
        <v>4</v>
      </c>
      <c r="H41" s="22" t="str">
        <f>+IF(ISBLANK(VLOOKUP(Tableau1[[#This Row],[Code INSEE]],SYNTHESE_TRAVAUX!$A$2:$J$39,10,FALSE())),"")</f>
        <v/>
      </c>
      <c r="I41" s="20"/>
      <c r="J41" s="20"/>
      <c r="K41" s="20"/>
      <c r="L41" s="20"/>
      <c r="M41" s="20"/>
      <c r="N41" s="20"/>
      <c r="O41" s="23"/>
      <c r="P41" s="24"/>
    </row>
    <row r="42" spans="1:16" ht="15.75" customHeight="1" x14ac:dyDescent="0.25">
      <c r="A42">
        <v>14046</v>
      </c>
      <c r="B42" t="s">
        <v>107</v>
      </c>
      <c r="C42" t="s">
        <v>85</v>
      </c>
      <c r="D42" t="s">
        <v>273</v>
      </c>
      <c r="E42" t="s">
        <v>274</v>
      </c>
      <c r="F42" s="21" t="str">
        <f t="shared" si="1"/>
        <v>Voir sur Maps</v>
      </c>
      <c r="G42" s="22">
        <f>+VLOOKUP(TEXT(Tableau1[[#This Row],[Code INSEE]],"00000"),'[1]03_Déploiement_Prévu'!$A$3:$T$40,20,FALSE)</f>
        <v>4</v>
      </c>
      <c r="H42" s="22" t="str">
        <f>+IF(ISBLANK(VLOOKUP(Tableau1[[#This Row],[Code INSEE]],SYNTHESE_TRAVAUX!$A$2:$J$39,10,FALSE())),"")</f>
        <v/>
      </c>
      <c r="I42" s="20"/>
      <c r="J42" s="20"/>
      <c r="K42" s="20"/>
      <c r="L42" s="20"/>
      <c r="M42" s="20"/>
      <c r="N42" s="20"/>
      <c r="O42" s="23"/>
      <c r="P42" s="24"/>
    </row>
    <row r="43" spans="1:16" ht="15.75" customHeight="1" x14ac:dyDescent="0.25">
      <c r="A43">
        <v>14046</v>
      </c>
      <c r="B43" t="s">
        <v>107</v>
      </c>
      <c r="C43" t="s">
        <v>85</v>
      </c>
      <c r="D43" t="s">
        <v>275</v>
      </c>
      <c r="E43" t="s">
        <v>276</v>
      </c>
      <c r="F43" s="21" t="str">
        <f t="shared" si="1"/>
        <v>Voir sur Maps</v>
      </c>
      <c r="G43" s="22">
        <f>+VLOOKUP(TEXT(Tableau1[[#This Row],[Code INSEE]],"00000"),'[1]03_Déploiement_Prévu'!$A$3:$T$40,20,FALSE)</f>
        <v>4</v>
      </c>
      <c r="H43" s="22" t="str">
        <f>+IF(ISBLANK(VLOOKUP(Tableau1[[#This Row],[Code INSEE]],SYNTHESE_TRAVAUX!$A$2:$J$39,10,FALSE())),"")</f>
        <v/>
      </c>
      <c r="I43" s="20"/>
      <c r="J43" s="20"/>
      <c r="K43" s="20"/>
      <c r="L43" s="20"/>
      <c r="M43" s="20"/>
      <c r="N43" s="20"/>
      <c r="O43" s="23"/>
      <c r="P43" s="24"/>
    </row>
    <row r="44" spans="1:16" ht="15.75" customHeight="1" x14ac:dyDescent="0.25">
      <c r="A44">
        <v>14046</v>
      </c>
      <c r="B44" t="s">
        <v>107</v>
      </c>
      <c r="C44" t="s">
        <v>85</v>
      </c>
      <c r="D44" t="s">
        <v>218</v>
      </c>
      <c r="E44" t="s">
        <v>219</v>
      </c>
      <c r="F44" s="21" t="str">
        <f t="shared" si="1"/>
        <v>Voir sur Maps</v>
      </c>
      <c r="G44" s="22">
        <f>+VLOOKUP(TEXT(Tableau1[[#This Row],[Code INSEE]],"00000"),'[1]03_Déploiement_Prévu'!$A$3:$T$40,20,FALSE)</f>
        <v>4</v>
      </c>
      <c r="H44" s="22" t="str">
        <f>+IF(ISBLANK(VLOOKUP(Tableau1[[#This Row],[Code INSEE]],SYNTHESE_TRAVAUX!$A$2:$J$39,10,FALSE())),"")</f>
        <v/>
      </c>
      <c r="I44" s="20"/>
      <c r="J44" s="20"/>
      <c r="K44" s="20"/>
      <c r="L44" s="20"/>
      <c r="M44" s="20"/>
      <c r="N44" s="20"/>
      <c r="O44" s="23"/>
      <c r="P44" s="24"/>
    </row>
    <row r="45" spans="1:16" ht="15.75" customHeight="1" x14ac:dyDescent="0.25">
      <c r="A45">
        <v>14046</v>
      </c>
      <c r="B45" t="s">
        <v>107</v>
      </c>
      <c r="C45" t="s">
        <v>85</v>
      </c>
      <c r="D45" t="s">
        <v>277</v>
      </c>
      <c r="E45" t="s">
        <v>278</v>
      </c>
      <c r="F45" s="21" t="str">
        <f t="shared" si="1"/>
        <v>Voir sur Maps</v>
      </c>
      <c r="G45" s="22">
        <f>+VLOOKUP(TEXT(Tableau1[[#This Row],[Code INSEE]],"00000"),'[1]03_Déploiement_Prévu'!$A$3:$T$40,20,FALSE)</f>
        <v>4</v>
      </c>
      <c r="H45" s="22" t="str">
        <f>+IF(ISBLANK(VLOOKUP(Tableau1[[#This Row],[Code INSEE]],SYNTHESE_TRAVAUX!$A$2:$J$39,10,FALSE())),"")</f>
        <v/>
      </c>
      <c r="I45" s="20"/>
      <c r="J45" s="20"/>
      <c r="K45" s="20"/>
      <c r="L45" s="20"/>
      <c r="M45" s="20"/>
      <c r="N45" s="20"/>
      <c r="O45" s="23"/>
      <c r="P45" s="24"/>
    </row>
    <row r="46" spans="1:16" ht="15.75" customHeight="1" x14ac:dyDescent="0.25">
      <c r="A46">
        <v>14046</v>
      </c>
      <c r="B46" t="s">
        <v>107</v>
      </c>
      <c r="C46" t="s">
        <v>85</v>
      </c>
      <c r="D46" t="s">
        <v>279</v>
      </c>
      <c r="E46" t="s">
        <v>280</v>
      </c>
      <c r="F46" s="21" t="str">
        <f t="shared" si="1"/>
        <v>Voir sur Maps</v>
      </c>
      <c r="G46" s="22">
        <f>+VLOOKUP(TEXT(Tableau1[[#This Row],[Code INSEE]],"00000"),'[1]03_Déploiement_Prévu'!$A$3:$T$40,20,FALSE)</f>
        <v>4</v>
      </c>
      <c r="H46" s="22" t="str">
        <f>+IF(ISBLANK(VLOOKUP(Tableau1[[#This Row],[Code INSEE]],SYNTHESE_TRAVAUX!$A$2:$J$39,10,FALSE())),"")</f>
        <v/>
      </c>
      <c r="I46" s="20"/>
      <c r="J46" s="20"/>
      <c r="K46" s="20"/>
      <c r="L46" s="20"/>
      <c r="M46" s="20"/>
      <c r="N46" s="20"/>
      <c r="O46" s="23"/>
      <c r="P46" s="24"/>
    </row>
    <row r="47" spans="1:16" ht="15.75" customHeight="1" x14ac:dyDescent="0.25">
      <c r="A47">
        <v>14231</v>
      </c>
      <c r="B47" t="s">
        <v>100</v>
      </c>
      <c r="C47" t="s">
        <v>85</v>
      </c>
      <c r="D47" t="s">
        <v>281</v>
      </c>
      <c r="E47" t="s">
        <v>282</v>
      </c>
      <c r="F47" s="21" t="str">
        <f t="shared" si="1"/>
        <v>Voir sur Maps</v>
      </c>
      <c r="G47" s="22">
        <f>+VLOOKUP(TEXT(Tableau1[[#This Row],[Code INSEE]],"00000"),'[1]03_Déploiement_Prévu'!$A$3:$T$40,20,FALSE)</f>
        <v>3</v>
      </c>
      <c r="H47" s="22" t="str">
        <f>+IF(ISBLANK(VLOOKUP(Tableau1[[#This Row],[Code INSEE]],SYNTHESE_TRAVAUX!$A$2:$J$39,10,FALSE())),"")</f>
        <v/>
      </c>
      <c r="I47" s="20"/>
      <c r="J47" s="20"/>
      <c r="K47" s="20"/>
      <c r="L47" s="20"/>
      <c r="M47" s="20"/>
      <c r="N47" s="20"/>
      <c r="O47" s="23"/>
      <c r="P47" s="24"/>
    </row>
    <row r="48" spans="1:16" ht="15.75" customHeight="1" x14ac:dyDescent="0.25">
      <c r="A48">
        <v>14070</v>
      </c>
      <c r="B48" t="s">
        <v>101</v>
      </c>
      <c r="C48" t="s">
        <v>85</v>
      </c>
      <c r="D48" t="s">
        <v>283</v>
      </c>
      <c r="E48" t="s">
        <v>284</v>
      </c>
      <c r="F48" s="21" t="str">
        <f t="shared" si="1"/>
        <v>Voir sur Maps</v>
      </c>
      <c r="G48" s="22">
        <f>+VLOOKUP(TEXT(Tableau1[[#This Row],[Code INSEE]],"00000"),'[1]03_Déploiement_Prévu'!$A$3:$T$40,20,FALSE)</f>
        <v>3</v>
      </c>
      <c r="H48" s="22" t="str">
        <f>+IF(ISBLANK(VLOOKUP(Tableau1[[#This Row],[Code INSEE]],SYNTHESE_TRAVAUX!$A$2:$J$39,10,FALSE())),"")</f>
        <v/>
      </c>
      <c r="I48" s="20"/>
      <c r="J48" s="20"/>
      <c r="K48" s="20"/>
      <c r="L48" s="20"/>
      <c r="M48" s="20"/>
      <c r="N48" s="20"/>
      <c r="O48" s="23"/>
      <c r="P48" s="24"/>
    </row>
    <row r="49" spans="1:16" ht="15.75" customHeight="1" x14ac:dyDescent="0.25">
      <c r="A49">
        <v>14070</v>
      </c>
      <c r="B49" t="s">
        <v>101</v>
      </c>
      <c r="C49" t="s">
        <v>85</v>
      </c>
      <c r="D49" t="s">
        <v>285</v>
      </c>
      <c r="E49" t="s">
        <v>286</v>
      </c>
      <c r="F49" s="21" t="str">
        <f t="shared" si="1"/>
        <v>Voir sur Maps</v>
      </c>
      <c r="G49" s="22">
        <f>+VLOOKUP(TEXT(Tableau1[[#This Row],[Code INSEE]],"00000"),'[1]03_Déploiement_Prévu'!$A$3:$T$40,20,FALSE)</f>
        <v>3</v>
      </c>
      <c r="H49" s="22" t="str">
        <f>+IF(ISBLANK(VLOOKUP(Tableau1[[#This Row],[Code INSEE]],SYNTHESE_TRAVAUX!$A$2:$J$39,10,FALSE())),"")</f>
        <v/>
      </c>
      <c r="I49" s="20"/>
      <c r="J49" s="20"/>
      <c r="K49" s="20"/>
      <c r="L49" s="20"/>
      <c r="M49" s="20"/>
      <c r="N49" s="20"/>
      <c r="O49" s="23"/>
      <c r="P49" s="24"/>
    </row>
    <row r="50" spans="1:16" ht="15.75" customHeight="1" x14ac:dyDescent="0.25">
      <c r="A50">
        <v>14106</v>
      </c>
      <c r="B50" t="s">
        <v>108</v>
      </c>
      <c r="C50" t="s">
        <v>85</v>
      </c>
      <c r="D50" t="s">
        <v>287</v>
      </c>
      <c r="E50" t="s">
        <v>288</v>
      </c>
      <c r="F50" s="21" t="str">
        <f t="shared" si="1"/>
        <v>Voir sur Maps</v>
      </c>
      <c r="G50" s="22">
        <f>+VLOOKUP(TEXT(Tableau1[[#This Row],[Code INSEE]],"00000"),'[1]03_Déploiement_Prévu'!$A$3:$T$40,20,FALSE)</f>
        <v>4</v>
      </c>
      <c r="H50" s="22" t="str">
        <f>+IF(ISBLANK(VLOOKUP(Tableau1[[#This Row],[Code INSEE]],SYNTHESE_TRAVAUX!$A$2:$J$39,10,FALSE())),"")</f>
        <v/>
      </c>
      <c r="I50" s="20"/>
      <c r="J50" s="20"/>
      <c r="K50" s="20"/>
      <c r="L50" s="20"/>
      <c r="M50" s="20"/>
      <c r="N50" s="20"/>
      <c r="O50" s="23"/>
      <c r="P50" s="24"/>
    </row>
    <row r="51" spans="1:16" ht="15.75" customHeight="1" x14ac:dyDescent="0.25">
      <c r="A51">
        <v>14110</v>
      </c>
      <c r="B51" t="s">
        <v>102</v>
      </c>
      <c r="C51" t="s">
        <v>85</v>
      </c>
      <c r="D51" t="s">
        <v>289</v>
      </c>
      <c r="E51" t="s">
        <v>290</v>
      </c>
      <c r="F51" s="21" t="str">
        <f t="shared" si="1"/>
        <v>Voir sur Maps</v>
      </c>
      <c r="G51" s="22">
        <f>+VLOOKUP(TEXT(Tableau1[[#This Row],[Code INSEE]],"00000"),'[1]03_Déploiement_Prévu'!$A$3:$T$40,20,FALSE)</f>
        <v>3</v>
      </c>
      <c r="H51" s="22" t="str">
        <f>+IF(ISBLANK(VLOOKUP(Tableau1[[#This Row],[Code INSEE]],SYNTHESE_TRAVAUX!$A$2:$J$39,10,FALSE())),"")</f>
        <v/>
      </c>
      <c r="I51" s="20"/>
      <c r="J51" s="20"/>
      <c r="K51" s="20"/>
      <c r="L51" s="20"/>
      <c r="M51" s="20"/>
      <c r="N51" s="20"/>
      <c r="O51" s="23"/>
      <c r="P51" s="24"/>
    </row>
    <row r="52" spans="1:16" ht="15.75" customHeight="1" x14ac:dyDescent="0.25">
      <c r="A52">
        <v>14110</v>
      </c>
      <c r="B52" t="s">
        <v>102</v>
      </c>
      <c r="C52" t="s">
        <v>85</v>
      </c>
      <c r="D52" t="s">
        <v>291</v>
      </c>
      <c r="E52" t="s">
        <v>292</v>
      </c>
      <c r="F52" s="21" t="str">
        <f t="shared" si="1"/>
        <v>Voir sur Maps</v>
      </c>
      <c r="G52" s="22">
        <f>+VLOOKUP(TEXT(Tableau1[[#This Row],[Code INSEE]],"00000"),'[1]03_Déploiement_Prévu'!$A$3:$T$40,20,FALSE)</f>
        <v>3</v>
      </c>
      <c r="H52" s="22" t="str">
        <f>+IF(ISBLANK(VLOOKUP(Tableau1[[#This Row],[Code INSEE]],SYNTHESE_TRAVAUX!$A$2:$J$39,10,FALSE())),"")</f>
        <v/>
      </c>
      <c r="I52" s="20"/>
      <c r="J52" s="20"/>
      <c r="K52" s="20"/>
      <c r="L52" s="20"/>
      <c r="M52" s="20"/>
      <c r="N52" s="20"/>
      <c r="O52" s="23"/>
      <c r="P52" s="24"/>
    </row>
    <row r="53" spans="1:16" ht="15.75" customHeight="1" x14ac:dyDescent="0.25">
      <c r="A53">
        <v>14110</v>
      </c>
      <c r="B53" t="s">
        <v>102</v>
      </c>
      <c r="C53" t="s">
        <v>85</v>
      </c>
      <c r="D53" t="s">
        <v>293</v>
      </c>
      <c r="E53" t="s">
        <v>294</v>
      </c>
      <c r="F53" s="21" t="str">
        <f t="shared" si="1"/>
        <v>Voir sur Maps</v>
      </c>
      <c r="G53" s="22">
        <f>+VLOOKUP(TEXT(Tableau1[[#This Row],[Code INSEE]],"00000"),'[1]03_Déploiement_Prévu'!$A$3:$T$40,20,FALSE)</f>
        <v>3</v>
      </c>
      <c r="H53" s="22" t="str">
        <f>+IF(ISBLANK(VLOOKUP(Tableau1[[#This Row],[Code INSEE]],SYNTHESE_TRAVAUX!$A$2:$J$39,10,FALSE())),"")</f>
        <v/>
      </c>
      <c r="I53" s="20"/>
      <c r="J53" s="20"/>
      <c r="K53" s="20"/>
      <c r="L53" s="20"/>
      <c r="M53" s="20"/>
      <c r="N53" s="20"/>
      <c r="O53" s="23"/>
      <c r="P53" s="24"/>
    </row>
    <row r="54" spans="1:16" ht="15.75" customHeight="1" x14ac:dyDescent="0.25">
      <c r="A54">
        <v>14117</v>
      </c>
      <c r="B54" t="s">
        <v>109</v>
      </c>
      <c r="C54" t="s">
        <v>85</v>
      </c>
      <c r="D54" t="s">
        <v>295</v>
      </c>
      <c r="E54" t="s">
        <v>296</v>
      </c>
      <c r="F54" s="21" t="str">
        <f t="shared" si="1"/>
        <v>Voir sur Maps</v>
      </c>
      <c r="G54" s="22">
        <f>+VLOOKUP(TEXT(Tableau1[[#This Row],[Code INSEE]],"00000"),'[1]03_Déploiement_Prévu'!$A$3:$T$40,20,FALSE)</f>
        <v>4</v>
      </c>
      <c r="H54" s="22" t="str">
        <f>+IF(ISBLANK(VLOOKUP(Tableau1[[#This Row],[Code INSEE]],SYNTHESE_TRAVAUX!$A$2:$J$39,10,FALSE())),"")</f>
        <v/>
      </c>
      <c r="I54" s="20"/>
      <c r="J54" s="20"/>
      <c r="K54" s="20"/>
      <c r="L54" s="20"/>
      <c r="M54" s="20"/>
      <c r="N54" s="20"/>
      <c r="O54" s="23"/>
      <c r="P54" s="24"/>
    </row>
    <row r="55" spans="1:16" ht="15.75" customHeight="1" x14ac:dyDescent="0.25">
      <c r="A55">
        <v>14117</v>
      </c>
      <c r="B55" t="s">
        <v>109</v>
      </c>
      <c r="C55" t="s">
        <v>85</v>
      </c>
      <c r="D55" t="s">
        <v>297</v>
      </c>
      <c r="E55" t="s">
        <v>298</v>
      </c>
      <c r="F55" s="21" t="str">
        <f t="shared" si="1"/>
        <v>Voir sur Maps</v>
      </c>
      <c r="G55" s="22">
        <f>+VLOOKUP(TEXT(Tableau1[[#This Row],[Code INSEE]],"00000"),'[1]03_Déploiement_Prévu'!$A$3:$T$40,20,FALSE)</f>
        <v>4</v>
      </c>
      <c r="H55" s="22" t="str">
        <f>+IF(ISBLANK(VLOOKUP(Tableau1[[#This Row],[Code INSEE]],SYNTHESE_TRAVAUX!$A$2:$J$39,10,FALSE())),"")</f>
        <v/>
      </c>
      <c r="I55" s="20"/>
      <c r="J55" s="20"/>
      <c r="K55" s="20"/>
      <c r="L55" s="20"/>
      <c r="M55" s="20"/>
      <c r="N55" s="20"/>
      <c r="O55" s="23"/>
      <c r="P55" s="24"/>
    </row>
    <row r="56" spans="1:16" ht="15.75" customHeight="1" x14ac:dyDescent="0.25">
      <c r="A56">
        <v>14198</v>
      </c>
      <c r="B56" t="s">
        <v>93</v>
      </c>
      <c r="C56" t="s">
        <v>85</v>
      </c>
      <c r="D56" t="s">
        <v>299</v>
      </c>
      <c r="E56" t="s">
        <v>300</v>
      </c>
      <c r="F56" s="21" t="str">
        <f t="shared" si="1"/>
        <v>Voir sur Maps</v>
      </c>
      <c r="G56" s="22">
        <f>+VLOOKUP(TEXT(Tableau1[[#This Row],[Code INSEE]],"00000"),'[1]03_Déploiement_Prévu'!$A$3:$T$40,20,FALSE)</f>
        <v>2</v>
      </c>
      <c r="H56" s="22" t="str">
        <f>+IF(ISBLANK(VLOOKUP(Tableau1[[#This Row],[Code INSEE]],SYNTHESE_TRAVAUX!$A$2:$J$39,10,FALSE())),"")</f>
        <v/>
      </c>
      <c r="I56" s="20"/>
      <c r="J56" s="20"/>
      <c r="K56" s="20"/>
      <c r="L56" s="20"/>
      <c r="M56" s="20"/>
      <c r="N56" s="20"/>
      <c r="O56" s="23"/>
      <c r="P56" s="24"/>
    </row>
    <row r="57" spans="1:16" ht="15.75" customHeight="1" x14ac:dyDescent="0.25">
      <c r="A57">
        <v>14203</v>
      </c>
      <c r="B57" t="s">
        <v>94</v>
      </c>
      <c r="C57" t="s">
        <v>85</v>
      </c>
      <c r="D57" t="s">
        <v>301</v>
      </c>
      <c r="E57" t="s">
        <v>302</v>
      </c>
      <c r="F57" s="21" t="str">
        <f t="shared" si="1"/>
        <v>Voir sur Maps</v>
      </c>
      <c r="G57" s="22">
        <f>+VLOOKUP(TEXT(Tableau1[[#This Row],[Code INSEE]],"00000"),'[1]03_Déploiement_Prévu'!$A$3:$T$40,20,FALSE)</f>
        <v>2</v>
      </c>
      <c r="H57" s="22" t="str">
        <f>+IF(ISBLANK(VLOOKUP(Tableau1[[#This Row],[Code INSEE]],SYNTHESE_TRAVAUX!$A$2:$J$39,10,FALSE())),"")</f>
        <v/>
      </c>
      <c r="I57" s="20"/>
      <c r="J57" s="20"/>
      <c r="K57" s="20"/>
      <c r="L57" s="20"/>
      <c r="M57" s="20"/>
      <c r="N57" s="20"/>
      <c r="O57" s="23"/>
      <c r="P57" s="24"/>
    </row>
    <row r="58" spans="1:16" ht="15.75" customHeight="1" x14ac:dyDescent="0.25">
      <c r="A58">
        <v>14225</v>
      </c>
      <c r="B58" t="s">
        <v>110</v>
      </c>
      <c r="C58" t="s">
        <v>85</v>
      </c>
      <c r="D58" t="s">
        <v>303</v>
      </c>
      <c r="E58" t="s">
        <v>304</v>
      </c>
      <c r="F58" s="21" t="str">
        <f t="shared" si="1"/>
        <v>Voir sur Maps</v>
      </c>
      <c r="G58" s="22">
        <f>+VLOOKUP(TEXT(Tableau1[[#This Row],[Code INSEE]],"00000"),'[1]03_Déploiement_Prévu'!$A$3:$T$40,20,FALSE)</f>
        <v>4</v>
      </c>
      <c r="H58" s="22" t="str">
        <f>+IF(ISBLANK(VLOOKUP(Tableau1[[#This Row],[Code INSEE]],SYNTHESE_TRAVAUX!$A$2:$J$39,10,FALSE())),"")</f>
        <v/>
      </c>
      <c r="I58" s="20"/>
      <c r="J58" s="20"/>
      <c r="K58" s="20"/>
      <c r="L58" s="20"/>
      <c r="M58" s="20"/>
      <c r="N58" s="20"/>
      <c r="O58" s="23"/>
      <c r="P58" s="24"/>
    </row>
    <row r="59" spans="1:16" ht="15.75" customHeight="1" x14ac:dyDescent="0.25">
      <c r="A59">
        <v>14225</v>
      </c>
      <c r="B59" t="s">
        <v>110</v>
      </c>
      <c r="C59" t="s">
        <v>85</v>
      </c>
      <c r="D59" t="s">
        <v>305</v>
      </c>
      <c r="E59" t="s">
        <v>306</v>
      </c>
      <c r="F59" s="21" t="str">
        <f t="shared" si="1"/>
        <v>Voir sur Maps</v>
      </c>
      <c r="G59" s="22">
        <f>+VLOOKUP(TEXT(Tableau1[[#This Row],[Code INSEE]],"00000"),'[1]03_Déploiement_Prévu'!$A$3:$T$40,20,FALSE)</f>
        <v>4</v>
      </c>
      <c r="H59" s="22" t="str">
        <f>+IF(ISBLANK(VLOOKUP(Tableau1[[#This Row],[Code INSEE]],SYNTHESE_TRAVAUX!$A$2:$J$39,10,FALSE())),"")</f>
        <v/>
      </c>
      <c r="I59" s="20"/>
      <c r="J59" s="20"/>
      <c r="K59" s="20"/>
      <c r="L59" s="20"/>
      <c r="M59" s="20"/>
      <c r="N59" s="20"/>
      <c r="O59" s="23"/>
      <c r="P59" s="24"/>
    </row>
    <row r="60" spans="1:16" ht="15.75" customHeight="1" x14ac:dyDescent="0.25">
      <c r="A60">
        <v>14225</v>
      </c>
      <c r="B60" t="s">
        <v>110</v>
      </c>
      <c r="C60" t="s">
        <v>85</v>
      </c>
      <c r="D60" t="s">
        <v>307</v>
      </c>
      <c r="E60" t="s">
        <v>308</v>
      </c>
      <c r="F60" s="21" t="str">
        <f t="shared" si="1"/>
        <v>Voir sur Maps</v>
      </c>
      <c r="G60" s="22">
        <f>+VLOOKUP(TEXT(Tableau1[[#This Row],[Code INSEE]],"00000"),'[1]03_Déploiement_Prévu'!$A$3:$T$40,20,FALSE)</f>
        <v>4</v>
      </c>
      <c r="H60" s="22" t="str">
        <f>+IF(ISBLANK(VLOOKUP(Tableau1[[#This Row],[Code INSEE]],SYNTHESE_TRAVAUX!$A$2:$J$39,10,FALSE())),"")</f>
        <v/>
      </c>
      <c r="I60" s="20"/>
      <c r="J60" s="20"/>
      <c r="K60" s="20"/>
      <c r="L60" s="20"/>
      <c r="M60" s="20"/>
      <c r="N60" s="20"/>
      <c r="O60" s="23"/>
      <c r="P60" s="24"/>
    </row>
    <row r="61" spans="1:16" ht="15.75" customHeight="1" x14ac:dyDescent="0.25">
      <c r="A61">
        <v>14225</v>
      </c>
      <c r="B61" t="s">
        <v>110</v>
      </c>
      <c r="C61" t="s">
        <v>85</v>
      </c>
      <c r="D61" t="s">
        <v>309</v>
      </c>
      <c r="E61" t="s">
        <v>310</v>
      </c>
      <c r="F61" s="21" t="str">
        <f t="shared" si="1"/>
        <v>Voir sur Maps</v>
      </c>
      <c r="G61" s="22">
        <f>+VLOOKUP(TEXT(Tableau1[[#This Row],[Code INSEE]],"00000"),'[1]03_Déploiement_Prévu'!$A$3:$T$40,20,FALSE)</f>
        <v>4</v>
      </c>
      <c r="H61" s="22" t="str">
        <f>+IF(ISBLANK(VLOOKUP(Tableau1[[#This Row],[Code INSEE]],SYNTHESE_TRAVAUX!$A$2:$J$39,10,FALSE())),"")</f>
        <v/>
      </c>
      <c r="I61" s="20"/>
      <c r="J61" s="20"/>
      <c r="K61" s="20"/>
      <c r="L61" s="20"/>
      <c r="M61" s="20"/>
      <c r="N61" s="20"/>
      <c r="O61" s="23"/>
      <c r="P61" s="24"/>
    </row>
    <row r="62" spans="1:16" ht="15.75" customHeight="1" x14ac:dyDescent="0.25">
      <c r="A62">
        <v>14227</v>
      </c>
      <c r="B62" t="s">
        <v>95</v>
      </c>
      <c r="C62" t="s">
        <v>85</v>
      </c>
      <c r="D62" t="s">
        <v>311</v>
      </c>
      <c r="E62" t="s">
        <v>312</v>
      </c>
      <c r="F62" s="21" t="str">
        <f t="shared" si="1"/>
        <v>Voir sur Maps</v>
      </c>
      <c r="G62" s="22">
        <f>+VLOOKUP(TEXT(Tableau1[[#This Row],[Code INSEE]],"00000"),'[1]03_Déploiement_Prévu'!$A$3:$T$40,20,FALSE)</f>
        <v>2</v>
      </c>
      <c r="H62" s="22" t="str">
        <f>+IF(ISBLANK(VLOOKUP(Tableau1[[#This Row],[Code INSEE]],SYNTHESE_TRAVAUX!$A$2:$J$39,10,FALSE())),"")</f>
        <v/>
      </c>
      <c r="I62" s="20"/>
      <c r="J62" s="20"/>
      <c r="K62" s="20"/>
      <c r="L62" s="20"/>
      <c r="M62" s="20"/>
      <c r="N62" s="20"/>
      <c r="O62" s="23"/>
      <c r="P62" s="24"/>
    </row>
    <row r="63" spans="1:16" ht="15.75" customHeight="1" x14ac:dyDescent="0.25">
      <c r="A63">
        <v>14227</v>
      </c>
      <c r="B63" t="s">
        <v>95</v>
      </c>
      <c r="C63" t="s">
        <v>85</v>
      </c>
      <c r="D63" t="s">
        <v>313</v>
      </c>
      <c r="E63" t="s">
        <v>314</v>
      </c>
      <c r="F63" s="21" t="str">
        <f t="shared" si="1"/>
        <v>Voir sur Maps</v>
      </c>
      <c r="G63" s="22">
        <f>+VLOOKUP(TEXT(Tableau1[[#This Row],[Code INSEE]],"00000"),'[1]03_Déploiement_Prévu'!$A$3:$T$40,20,FALSE)</f>
        <v>2</v>
      </c>
      <c r="H63" s="22" t="str">
        <f>+IF(ISBLANK(VLOOKUP(Tableau1[[#This Row],[Code INSEE]],SYNTHESE_TRAVAUX!$A$2:$J$39,10,FALSE())),"")</f>
        <v/>
      </c>
      <c r="I63" s="20"/>
      <c r="J63" s="20"/>
      <c r="K63" s="20"/>
      <c r="L63" s="20"/>
      <c r="M63" s="20"/>
      <c r="N63" s="20"/>
      <c r="O63" s="23"/>
      <c r="P63" s="24"/>
    </row>
    <row r="64" spans="1:16" ht="15.75" customHeight="1" x14ac:dyDescent="0.25">
      <c r="A64">
        <v>14227</v>
      </c>
      <c r="B64" t="s">
        <v>95</v>
      </c>
      <c r="C64" t="s">
        <v>85</v>
      </c>
      <c r="D64" t="s">
        <v>315</v>
      </c>
      <c r="E64" t="s">
        <v>316</v>
      </c>
      <c r="F64" s="21" t="str">
        <f t="shared" si="1"/>
        <v>Voir sur Maps</v>
      </c>
      <c r="G64" s="22">
        <f>+VLOOKUP(TEXT(Tableau1[[#This Row],[Code INSEE]],"00000"),'[1]03_Déploiement_Prévu'!$A$3:$T$40,20,FALSE)</f>
        <v>2</v>
      </c>
      <c r="H64" s="22" t="str">
        <f>+IF(ISBLANK(VLOOKUP(Tableau1[[#This Row],[Code INSEE]],SYNTHESE_TRAVAUX!$A$2:$J$39,10,FALSE())),"")</f>
        <v/>
      </c>
      <c r="I64" s="20"/>
      <c r="J64" s="20"/>
      <c r="K64" s="20"/>
      <c r="L64" s="20"/>
      <c r="M64" s="20"/>
      <c r="N64" s="20"/>
      <c r="O64" s="23"/>
      <c r="P64" s="24"/>
    </row>
    <row r="65" spans="1:16" ht="15.75" customHeight="1" x14ac:dyDescent="0.25">
      <c r="A65">
        <v>14229</v>
      </c>
      <c r="B65" t="s">
        <v>86</v>
      </c>
      <c r="C65" t="s">
        <v>85</v>
      </c>
      <c r="D65" t="s">
        <v>317</v>
      </c>
      <c r="E65" t="s">
        <v>318</v>
      </c>
      <c r="F65" s="21" t="str">
        <f t="shared" si="1"/>
        <v>Voir sur Maps</v>
      </c>
      <c r="G65" s="22">
        <f>+VLOOKUP(TEXT(Tableau1[[#This Row],[Code INSEE]],"00000"),'[1]03_Déploiement_Prévu'!$A$3:$T$40,20,FALSE)</f>
        <v>1</v>
      </c>
      <c r="H65" s="22" t="str">
        <f>+IF(ISBLANK(VLOOKUP(Tableau1[[#This Row],[Code INSEE]],SYNTHESE_TRAVAUX!$A$2:$J$39,10,FALSE())),"")</f>
        <v/>
      </c>
      <c r="I65" s="20"/>
      <c r="J65" s="20"/>
      <c r="K65" s="20"/>
      <c r="L65" s="20"/>
      <c r="M65" s="20"/>
      <c r="N65" s="20"/>
      <c r="O65" s="23"/>
      <c r="P65" s="24"/>
    </row>
    <row r="66" spans="1:16" ht="15.75" customHeight="1" x14ac:dyDescent="0.25">
      <c r="A66">
        <v>14229</v>
      </c>
      <c r="B66" t="s">
        <v>86</v>
      </c>
      <c r="C66" t="s">
        <v>85</v>
      </c>
      <c r="D66" t="s">
        <v>232</v>
      </c>
      <c r="E66" t="s">
        <v>233</v>
      </c>
      <c r="F66" s="21" t="str">
        <f t="shared" si="1"/>
        <v>Voir sur Maps</v>
      </c>
      <c r="G66" s="22">
        <f>+VLOOKUP(TEXT(Tableau1[[#This Row],[Code INSEE]],"00000"),'[1]03_Déploiement_Prévu'!$A$3:$T$40,20,FALSE)</f>
        <v>1</v>
      </c>
      <c r="H66" s="22" t="str">
        <f>+IF(ISBLANK(VLOOKUP(Tableau1[[#This Row],[Code INSEE]],SYNTHESE_TRAVAUX!$A$2:$J$39,10,FALSE())),"")</f>
        <v/>
      </c>
      <c r="I66" s="20"/>
      <c r="J66" s="20"/>
      <c r="K66" s="20"/>
      <c r="L66" s="20"/>
      <c r="M66" s="20"/>
      <c r="N66" s="20"/>
      <c r="O66" s="23"/>
      <c r="P66" s="24"/>
    </row>
    <row r="67" spans="1:16" ht="15.75" customHeight="1" x14ac:dyDescent="0.25">
      <c r="A67">
        <v>14229</v>
      </c>
      <c r="B67" t="s">
        <v>86</v>
      </c>
      <c r="C67" t="s">
        <v>85</v>
      </c>
      <c r="D67" t="s">
        <v>234</v>
      </c>
      <c r="E67" t="s">
        <v>235</v>
      </c>
      <c r="F67" s="21" t="str">
        <f t="shared" ref="F67:F98" si="2">+IFERROR(HYPERLINK("https://www.google.com/maps/search/?api=1&amp;query="&amp;D67&amp;","&amp;E67,"Voir sur Maps"),"")</f>
        <v>Voir sur Maps</v>
      </c>
      <c r="G67" s="22">
        <f>+VLOOKUP(TEXT(Tableau1[[#This Row],[Code INSEE]],"00000"),'[1]03_Déploiement_Prévu'!$A$3:$T$40,20,FALSE)</f>
        <v>1</v>
      </c>
      <c r="H67" s="22" t="str">
        <f>+IF(ISBLANK(VLOOKUP(Tableau1[[#This Row],[Code INSEE]],SYNTHESE_TRAVAUX!$A$2:$J$39,10,FALSE())),"")</f>
        <v/>
      </c>
      <c r="I67" s="20"/>
      <c r="J67" s="20"/>
      <c r="K67" s="20"/>
      <c r="L67" s="20"/>
      <c r="M67" s="20"/>
      <c r="N67" s="20"/>
      <c r="O67" s="23"/>
      <c r="P67" s="24"/>
    </row>
    <row r="68" spans="1:16" ht="15.75" customHeight="1" x14ac:dyDescent="0.25">
      <c r="A68">
        <v>14229</v>
      </c>
      <c r="B68" t="s">
        <v>86</v>
      </c>
      <c r="C68" t="s">
        <v>85</v>
      </c>
      <c r="D68" t="s">
        <v>242</v>
      </c>
      <c r="E68" t="s">
        <v>243</v>
      </c>
      <c r="F68" s="21" t="str">
        <f t="shared" si="2"/>
        <v>Voir sur Maps</v>
      </c>
      <c r="G68" s="22">
        <f>+VLOOKUP(TEXT(Tableau1[[#This Row],[Code INSEE]],"00000"),'[1]03_Déploiement_Prévu'!$A$3:$T$40,20,FALSE)</f>
        <v>1</v>
      </c>
      <c r="H68" s="22" t="str">
        <f>+IF(ISBLANK(VLOOKUP(Tableau1[[#This Row],[Code INSEE]],SYNTHESE_TRAVAUX!$A$2:$J$39,10,FALSE())),"")</f>
        <v/>
      </c>
      <c r="I68" s="20"/>
      <c r="J68" s="20"/>
      <c r="K68" s="20"/>
      <c r="L68" s="20"/>
      <c r="M68" s="20"/>
      <c r="N68" s="20"/>
      <c r="O68" s="23"/>
      <c r="P68" s="24"/>
    </row>
    <row r="69" spans="1:16" ht="15.75" customHeight="1" x14ac:dyDescent="0.25">
      <c r="A69">
        <v>14229</v>
      </c>
      <c r="B69" t="s">
        <v>86</v>
      </c>
      <c r="C69" t="s">
        <v>85</v>
      </c>
      <c r="D69" t="s">
        <v>319</v>
      </c>
      <c r="E69" t="s">
        <v>320</v>
      </c>
      <c r="F69" s="21" t="str">
        <f t="shared" si="2"/>
        <v>Voir sur Maps</v>
      </c>
      <c r="G69" s="22">
        <f>+VLOOKUP(TEXT(Tableau1[[#This Row],[Code INSEE]],"00000"),'[1]03_Déploiement_Prévu'!$A$3:$T$40,20,FALSE)</f>
        <v>1</v>
      </c>
      <c r="H69" s="22" t="str">
        <f>+IF(ISBLANK(VLOOKUP(Tableau1[[#This Row],[Code INSEE]],SYNTHESE_TRAVAUX!$A$2:$J$39,10,FALSE())),"")</f>
        <v/>
      </c>
      <c r="I69" s="20"/>
      <c r="J69" s="20"/>
      <c r="K69" s="20"/>
      <c r="L69" s="20"/>
      <c r="M69" s="20"/>
      <c r="N69" s="20"/>
      <c r="O69" s="23"/>
      <c r="P69" s="24"/>
    </row>
    <row r="70" spans="1:16" ht="15.75" customHeight="1" x14ac:dyDescent="0.25">
      <c r="A70">
        <v>14229</v>
      </c>
      <c r="B70" t="s">
        <v>86</v>
      </c>
      <c r="C70" t="s">
        <v>85</v>
      </c>
      <c r="D70" t="s">
        <v>319</v>
      </c>
      <c r="E70" t="s">
        <v>320</v>
      </c>
      <c r="F70" s="21" t="str">
        <f t="shared" si="2"/>
        <v>Voir sur Maps</v>
      </c>
      <c r="G70" s="22">
        <f>+VLOOKUP(TEXT(Tableau1[[#This Row],[Code INSEE]],"00000"),'[1]03_Déploiement_Prévu'!$A$3:$T$40,20,FALSE)</f>
        <v>1</v>
      </c>
      <c r="H70" s="22" t="str">
        <f>+IF(ISBLANK(VLOOKUP(Tableau1[[#This Row],[Code INSEE]],SYNTHESE_TRAVAUX!$A$2:$J$39,10,FALSE())),"")</f>
        <v/>
      </c>
      <c r="I70" s="20"/>
      <c r="J70" s="20"/>
      <c r="K70" s="20"/>
      <c r="L70" s="20"/>
      <c r="M70" s="20"/>
      <c r="N70" s="20"/>
      <c r="O70" s="23"/>
      <c r="P70" s="24"/>
    </row>
    <row r="71" spans="1:16" ht="15.75" customHeight="1" x14ac:dyDescent="0.25">
      <c r="A71">
        <v>14229</v>
      </c>
      <c r="B71" t="s">
        <v>86</v>
      </c>
      <c r="C71" t="s">
        <v>85</v>
      </c>
      <c r="D71" t="s">
        <v>321</v>
      </c>
      <c r="E71" t="s">
        <v>322</v>
      </c>
      <c r="F71" s="21" t="str">
        <f t="shared" si="2"/>
        <v>Voir sur Maps</v>
      </c>
      <c r="G71" s="22">
        <f>+VLOOKUP(TEXT(Tableau1[[#This Row],[Code INSEE]],"00000"),'[1]03_Déploiement_Prévu'!$A$3:$T$40,20,FALSE)</f>
        <v>1</v>
      </c>
      <c r="H71" s="22" t="str">
        <f>+IF(ISBLANK(VLOOKUP(Tableau1[[#This Row],[Code INSEE]],SYNTHESE_TRAVAUX!$A$2:$J$39,10,FALSE())),"")</f>
        <v/>
      </c>
      <c r="I71" s="20"/>
      <c r="J71" s="20"/>
      <c r="K71" s="20"/>
      <c r="L71" s="20"/>
      <c r="M71" s="20"/>
      <c r="N71" s="20"/>
      <c r="O71" s="23"/>
      <c r="P71" s="24"/>
    </row>
    <row r="72" spans="1:16" ht="15.75" customHeight="1" x14ac:dyDescent="0.25">
      <c r="A72">
        <v>14229</v>
      </c>
      <c r="B72" t="s">
        <v>86</v>
      </c>
      <c r="C72" t="s">
        <v>85</v>
      </c>
      <c r="D72" t="s">
        <v>323</v>
      </c>
      <c r="E72" t="s">
        <v>324</v>
      </c>
      <c r="F72" s="21" t="str">
        <f t="shared" si="2"/>
        <v>Voir sur Maps</v>
      </c>
      <c r="G72" s="22">
        <f>+VLOOKUP(TEXT(Tableau1[[#This Row],[Code INSEE]],"00000"),'[1]03_Déploiement_Prévu'!$A$3:$T$40,20,FALSE)</f>
        <v>1</v>
      </c>
      <c r="H72" s="22" t="str">
        <f>+IF(ISBLANK(VLOOKUP(Tableau1[[#This Row],[Code INSEE]],SYNTHESE_TRAVAUX!$A$2:$J$39,10,FALSE())),"")</f>
        <v/>
      </c>
      <c r="I72" s="20"/>
      <c r="J72" s="20"/>
      <c r="K72" s="20"/>
      <c r="L72" s="20"/>
      <c r="M72" s="20"/>
      <c r="N72" s="20"/>
      <c r="O72" s="23"/>
      <c r="P72" s="24"/>
    </row>
    <row r="73" spans="1:16" ht="15.75" customHeight="1" x14ac:dyDescent="0.25">
      <c r="A73">
        <v>14229</v>
      </c>
      <c r="B73" t="s">
        <v>86</v>
      </c>
      <c r="C73" t="s">
        <v>85</v>
      </c>
      <c r="D73" t="s">
        <v>323</v>
      </c>
      <c r="E73" t="s">
        <v>324</v>
      </c>
      <c r="F73" s="21" t="str">
        <f t="shared" si="2"/>
        <v>Voir sur Maps</v>
      </c>
      <c r="G73" s="22">
        <f>+VLOOKUP(TEXT(Tableau1[[#This Row],[Code INSEE]],"00000"),'[1]03_Déploiement_Prévu'!$A$3:$T$40,20,FALSE)</f>
        <v>1</v>
      </c>
      <c r="H73" s="22" t="str">
        <f>+IF(ISBLANK(VLOOKUP(Tableau1[[#This Row],[Code INSEE]],SYNTHESE_TRAVAUX!$A$2:$J$39,10,FALSE())),"")</f>
        <v/>
      </c>
      <c r="I73" s="20"/>
      <c r="J73" s="20"/>
      <c r="K73" s="20"/>
      <c r="L73" s="20"/>
      <c r="M73" s="20"/>
      <c r="N73" s="20"/>
      <c r="O73" s="23"/>
      <c r="P73" s="24"/>
    </row>
    <row r="74" spans="1:16" ht="15.75" customHeight="1" x14ac:dyDescent="0.25">
      <c r="A74">
        <v>14229</v>
      </c>
      <c r="B74" t="s">
        <v>86</v>
      </c>
      <c r="C74" t="s">
        <v>85</v>
      </c>
      <c r="D74" t="s">
        <v>222</v>
      </c>
      <c r="E74" t="s">
        <v>223</v>
      </c>
      <c r="F74" s="21" t="str">
        <f t="shared" si="2"/>
        <v>Voir sur Maps</v>
      </c>
      <c r="G74" s="22">
        <f>+VLOOKUP(TEXT(Tableau1[[#This Row],[Code INSEE]],"00000"),'[1]03_Déploiement_Prévu'!$A$3:$T$40,20,FALSE)</f>
        <v>1</v>
      </c>
      <c r="H74" s="22" t="str">
        <f>+IF(ISBLANK(VLOOKUP(Tableau1[[#This Row],[Code INSEE]],SYNTHESE_TRAVAUX!$A$2:$J$39,10,FALSE())),"")</f>
        <v/>
      </c>
      <c r="I74" s="20"/>
      <c r="J74" s="20"/>
      <c r="K74" s="20"/>
      <c r="L74" s="20"/>
      <c r="M74" s="20"/>
      <c r="N74" s="20"/>
      <c r="O74" s="23"/>
      <c r="P74" s="24"/>
    </row>
    <row r="75" spans="1:16" ht="15.75" customHeight="1" x14ac:dyDescent="0.25">
      <c r="A75">
        <v>14229</v>
      </c>
      <c r="B75" t="s">
        <v>86</v>
      </c>
      <c r="C75" t="s">
        <v>85</v>
      </c>
      <c r="D75" t="s">
        <v>325</v>
      </c>
      <c r="E75" t="s">
        <v>326</v>
      </c>
      <c r="F75" s="21" t="str">
        <f t="shared" si="2"/>
        <v>Voir sur Maps</v>
      </c>
      <c r="G75" s="22">
        <f>+VLOOKUP(TEXT(Tableau1[[#This Row],[Code INSEE]],"00000"),'[1]03_Déploiement_Prévu'!$A$3:$T$40,20,FALSE)</f>
        <v>1</v>
      </c>
      <c r="H75" s="22" t="str">
        <f>+IF(ISBLANK(VLOOKUP(Tableau1[[#This Row],[Code INSEE]],SYNTHESE_TRAVAUX!$A$2:$J$39,10,FALSE())),"")</f>
        <v/>
      </c>
      <c r="I75" s="20"/>
      <c r="J75" s="20"/>
      <c r="K75" s="20"/>
      <c r="L75" s="20"/>
      <c r="M75" s="20"/>
      <c r="N75" s="20"/>
      <c r="O75" s="23"/>
      <c r="P75" s="24"/>
    </row>
    <row r="76" spans="1:16" ht="15.75" customHeight="1" x14ac:dyDescent="0.25">
      <c r="A76">
        <v>14229</v>
      </c>
      <c r="B76" t="s">
        <v>86</v>
      </c>
      <c r="C76" t="s">
        <v>85</v>
      </c>
      <c r="D76" t="s">
        <v>327</v>
      </c>
      <c r="E76" t="s">
        <v>328</v>
      </c>
      <c r="F76" s="21" t="str">
        <f t="shared" si="2"/>
        <v>Voir sur Maps</v>
      </c>
      <c r="G76" s="22">
        <f>+VLOOKUP(TEXT(Tableau1[[#This Row],[Code INSEE]],"00000"),'[1]03_Déploiement_Prévu'!$A$3:$T$40,20,FALSE)</f>
        <v>1</v>
      </c>
      <c r="H76" s="22" t="str">
        <f>+IF(ISBLANK(VLOOKUP(Tableau1[[#This Row],[Code INSEE]],SYNTHESE_TRAVAUX!$A$2:$J$39,10,FALSE())),"")</f>
        <v/>
      </c>
      <c r="I76" s="20"/>
      <c r="J76" s="20"/>
      <c r="K76" s="20"/>
      <c r="L76" s="20"/>
      <c r="M76" s="20"/>
      <c r="N76" s="20"/>
      <c r="O76" s="23"/>
      <c r="P76" s="24"/>
    </row>
    <row r="77" spans="1:16" ht="15.75" customHeight="1" x14ac:dyDescent="0.25">
      <c r="A77">
        <v>14229</v>
      </c>
      <c r="B77" t="s">
        <v>86</v>
      </c>
      <c r="C77" t="s">
        <v>85</v>
      </c>
      <c r="D77" t="s">
        <v>329</v>
      </c>
      <c r="E77" t="s">
        <v>330</v>
      </c>
      <c r="F77" s="21" t="str">
        <f t="shared" si="2"/>
        <v>Voir sur Maps</v>
      </c>
      <c r="G77" s="22">
        <f>+VLOOKUP(TEXT(Tableau1[[#This Row],[Code INSEE]],"00000"),'[1]03_Déploiement_Prévu'!$A$3:$T$40,20,FALSE)</f>
        <v>1</v>
      </c>
      <c r="H77" s="22" t="str">
        <f>+IF(ISBLANK(VLOOKUP(Tableau1[[#This Row],[Code INSEE]],SYNTHESE_TRAVAUX!$A$2:$J$39,10,FALSE())),"")</f>
        <v/>
      </c>
      <c r="I77" s="20"/>
      <c r="J77" s="20"/>
      <c r="K77" s="20"/>
      <c r="L77" s="20"/>
      <c r="M77" s="20"/>
      <c r="N77" s="20"/>
      <c r="O77" s="23"/>
      <c r="P77" s="24"/>
    </row>
    <row r="78" spans="1:16" ht="15.75" customHeight="1" x14ac:dyDescent="0.25">
      <c r="A78">
        <v>14306</v>
      </c>
      <c r="B78" t="s">
        <v>96</v>
      </c>
      <c r="C78" t="s">
        <v>85</v>
      </c>
      <c r="D78" t="s">
        <v>331</v>
      </c>
      <c r="E78" t="s">
        <v>332</v>
      </c>
      <c r="F78" s="21" t="str">
        <f t="shared" si="2"/>
        <v>Voir sur Maps</v>
      </c>
      <c r="G78" s="22">
        <f>+VLOOKUP(TEXT(Tableau1[[#This Row],[Code INSEE]],"00000"),'[1]03_Déploiement_Prévu'!$A$3:$T$40,20,FALSE)</f>
        <v>2</v>
      </c>
      <c r="H78" s="22" t="str">
        <f>+IF(ISBLANK(VLOOKUP(Tableau1[[#This Row],[Code INSEE]],SYNTHESE_TRAVAUX!$A$2:$J$39,10,FALSE())),"")</f>
        <v/>
      </c>
      <c r="I78" s="20"/>
      <c r="J78" s="20"/>
      <c r="K78" s="20"/>
      <c r="L78" s="20"/>
      <c r="M78" s="20"/>
      <c r="N78" s="20"/>
      <c r="O78" s="23"/>
      <c r="P78" s="24"/>
    </row>
    <row r="79" spans="1:16" ht="15.75" customHeight="1" x14ac:dyDescent="0.25">
      <c r="A79">
        <v>14306</v>
      </c>
      <c r="B79" t="s">
        <v>96</v>
      </c>
      <c r="C79" t="s">
        <v>85</v>
      </c>
      <c r="D79" t="s">
        <v>220</v>
      </c>
      <c r="E79" t="s">
        <v>221</v>
      </c>
      <c r="F79" s="21" t="str">
        <f t="shared" si="2"/>
        <v>Voir sur Maps</v>
      </c>
      <c r="G79" s="22">
        <f>+VLOOKUP(TEXT(Tableau1[[#This Row],[Code INSEE]],"00000"),'[1]03_Déploiement_Prévu'!$A$3:$T$40,20,FALSE)</f>
        <v>2</v>
      </c>
      <c r="H79" s="22" t="str">
        <f>+IF(ISBLANK(VLOOKUP(Tableau1[[#This Row],[Code INSEE]],SYNTHESE_TRAVAUX!$A$2:$J$39,10,FALSE())),"")</f>
        <v/>
      </c>
      <c r="I79" s="20"/>
      <c r="J79" s="20"/>
      <c r="K79" s="20"/>
      <c r="L79" s="20"/>
      <c r="M79" s="20"/>
      <c r="N79" s="20"/>
      <c r="O79" s="23"/>
      <c r="P79" s="24"/>
    </row>
    <row r="80" spans="1:16" ht="15.75" customHeight="1" x14ac:dyDescent="0.25">
      <c r="A80">
        <v>14306</v>
      </c>
      <c r="B80" t="s">
        <v>96</v>
      </c>
      <c r="C80" t="s">
        <v>85</v>
      </c>
      <c r="D80" t="s">
        <v>206</v>
      </c>
      <c r="E80" t="s">
        <v>207</v>
      </c>
      <c r="F80" s="21" t="str">
        <f t="shared" si="2"/>
        <v>Voir sur Maps</v>
      </c>
      <c r="G80" s="22">
        <f>+VLOOKUP(TEXT(Tableau1[[#This Row],[Code INSEE]],"00000"),'[1]03_Déploiement_Prévu'!$A$3:$T$40,20,FALSE)</f>
        <v>2</v>
      </c>
      <c r="H80" s="22" t="str">
        <f>+IF(ISBLANK(VLOOKUP(Tableau1[[#This Row],[Code INSEE]],SYNTHESE_TRAVAUX!$A$2:$J$39,10,FALSE())),"")</f>
        <v/>
      </c>
      <c r="I80" s="20"/>
      <c r="J80" s="20"/>
      <c r="K80" s="20"/>
      <c r="L80" s="20"/>
      <c r="M80" s="20"/>
      <c r="N80" s="20"/>
      <c r="O80" s="23"/>
      <c r="P80" s="24"/>
    </row>
    <row r="81" spans="1:16" ht="15.75" customHeight="1" x14ac:dyDescent="0.25">
      <c r="A81">
        <v>14305</v>
      </c>
      <c r="B81" t="s">
        <v>88</v>
      </c>
      <c r="C81" t="s">
        <v>85</v>
      </c>
      <c r="D81" t="s">
        <v>333</v>
      </c>
      <c r="E81" t="s">
        <v>334</v>
      </c>
      <c r="F81" s="21" t="str">
        <f t="shared" si="2"/>
        <v>Voir sur Maps</v>
      </c>
      <c r="G81" s="22">
        <f>+VLOOKUP(TEXT(Tableau1[[#This Row],[Code INSEE]],"00000"),'[1]03_Déploiement_Prévu'!$A$3:$T$40,20,FALSE)</f>
        <v>1</v>
      </c>
      <c r="H81" s="22" t="str">
        <f>+IF(ISBLANK(VLOOKUP(Tableau1[[#This Row],[Code INSEE]],SYNTHESE_TRAVAUX!$A$2:$J$39,10,FALSE())),"")</f>
        <v/>
      </c>
      <c r="I81" s="20"/>
      <c r="J81" s="20"/>
      <c r="K81" s="20"/>
      <c r="L81" s="20"/>
      <c r="M81" s="20"/>
      <c r="N81" s="20"/>
      <c r="O81" s="23"/>
      <c r="P81" s="24"/>
    </row>
    <row r="82" spans="1:16" ht="15.75" customHeight="1" x14ac:dyDescent="0.25">
      <c r="A82">
        <v>14305</v>
      </c>
      <c r="B82" t="s">
        <v>88</v>
      </c>
      <c r="C82" t="s">
        <v>85</v>
      </c>
      <c r="D82" t="s">
        <v>335</v>
      </c>
      <c r="E82" t="s">
        <v>336</v>
      </c>
      <c r="F82" s="21" t="str">
        <f t="shared" si="2"/>
        <v>Voir sur Maps</v>
      </c>
      <c r="G82" s="22">
        <f>+VLOOKUP(TEXT(Tableau1[[#This Row],[Code INSEE]],"00000"),'[1]03_Déploiement_Prévu'!$A$3:$T$40,20,FALSE)</f>
        <v>1</v>
      </c>
      <c r="H82" s="22" t="str">
        <f>+IF(ISBLANK(VLOOKUP(Tableau1[[#This Row],[Code INSEE]],SYNTHESE_TRAVAUX!$A$2:$J$39,10,FALSE())),"")</f>
        <v/>
      </c>
      <c r="I82" s="20"/>
      <c r="J82" s="20"/>
      <c r="K82" s="20"/>
      <c r="L82" s="20"/>
      <c r="M82" s="20"/>
      <c r="N82" s="20"/>
      <c r="O82" s="23"/>
      <c r="P82" s="24"/>
    </row>
    <row r="83" spans="1:16" ht="15.75" customHeight="1" x14ac:dyDescent="0.25">
      <c r="A83">
        <v>14305</v>
      </c>
      <c r="B83" t="s">
        <v>88</v>
      </c>
      <c r="C83" t="s">
        <v>85</v>
      </c>
      <c r="D83" t="s">
        <v>337</v>
      </c>
      <c r="E83" t="s">
        <v>338</v>
      </c>
      <c r="F83" s="21" t="str">
        <f t="shared" si="2"/>
        <v>Voir sur Maps</v>
      </c>
      <c r="G83" s="22">
        <f>+VLOOKUP(TEXT(Tableau1[[#This Row],[Code INSEE]],"00000"),'[1]03_Déploiement_Prévu'!$A$3:$T$40,20,FALSE)</f>
        <v>1</v>
      </c>
      <c r="H83" s="22" t="str">
        <f>+IF(ISBLANK(VLOOKUP(Tableau1[[#This Row],[Code INSEE]],SYNTHESE_TRAVAUX!$A$2:$J$39,10,FALSE())),"")</f>
        <v/>
      </c>
      <c r="I83" s="20"/>
      <c r="J83" s="20"/>
      <c r="K83" s="20"/>
      <c r="L83" s="20"/>
      <c r="M83" s="20"/>
      <c r="N83" s="20"/>
      <c r="O83" s="23"/>
      <c r="P83" s="24"/>
    </row>
    <row r="84" spans="1:16" ht="15.75" customHeight="1" x14ac:dyDescent="0.25">
      <c r="A84">
        <v>14305</v>
      </c>
      <c r="B84" t="s">
        <v>88</v>
      </c>
      <c r="C84" t="s">
        <v>85</v>
      </c>
      <c r="D84" t="s">
        <v>339</v>
      </c>
      <c r="E84" t="s">
        <v>340</v>
      </c>
      <c r="F84" s="21" t="str">
        <f t="shared" si="2"/>
        <v>Voir sur Maps</v>
      </c>
      <c r="G84" s="22">
        <f>+VLOOKUP(TEXT(Tableau1[[#This Row],[Code INSEE]],"00000"),'[1]03_Déploiement_Prévu'!$A$3:$T$40,20,FALSE)</f>
        <v>1</v>
      </c>
      <c r="H84" s="22" t="str">
        <f>+IF(ISBLANK(VLOOKUP(Tableau1[[#This Row],[Code INSEE]],SYNTHESE_TRAVAUX!$A$2:$J$39,10,FALSE())),"")</f>
        <v/>
      </c>
      <c r="I84" s="20"/>
      <c r="J84" s="20"/>
      <c r="K84" s="20"/>
      <c r="L84" s="20"/>
      <c r="M84" s="20"/>
      <c r="N84" s="20"/>
      <c r="O84" s="23"/>
      <c r="P84" s="24"/>
    </row>
    <row r="85" spans="1:16" ht="15.75" customHeight="1" x14ac:dyDescent="0.25">
      <c r="A85">
        <v>14305</v>
      </c>
      <c r="B85" t="s">
        <v>88</v>
      </c>
      <c r="C85" t="s">
        <v>85</v>
      </c>
      <c r="D85" t="s">
        <v>341</v>
      </c>
      <c r="E85" t="s">
        <v>342</v>
      </c>
      <c r="F85" s="21" t="str">
        <f t="shared" si="2"/>
        <v>Voir sur Maps</v>
      </c>
      <c r="G85" s="22">
        <f>+VLOOKUP(TEXT(Tableau1[[#This Row],[Code INSEE]],"00000"),'[1]03_Déploiement_Prévu'!$A$3:$T$40,20,FALSE)</f>
        <v>1</v>
      </c>
      <c r="H85" s="22" t="str">
        <f>+IF(ISBLANK(VLOOKUP(Tableau1[[#This Row],[Code INSEE]],SYNTHESE_TRAVAUX!$A$2:$J$39,10,FALSE())),"")</f>
        <v/>
      </c>
      <c r="I85" s="20"/>
      <c r="J85" s="20"/>
      <c r="K85" s="20"/>
      <c r="L85" s="20"/>
      <c r="M85" s="20"/>
      <c r="N85" s="20"/>
      <c r="O85" s="23"/>
      <c r="P85" s="24"/>
    </row>
    <row r="86" spans="1:16" ht="15.75" customHeight="1" x14ac:dyDescent="0.25">
      <c r="A86">
        <v>14305</v>
      </c>
      <c r="B86" t="s">
        <v>88</v>
      </c>
      <c r="C86" t="s">
        <v>85</v>
      </c>
      <c r="D86" t="s">
        <v>208</v>
      </c>
      <c r="E86" t="s">
        <v>209</v>
      </c>
      <c r="F86" s="21" t="str">
        <f t="shared" si="2"/>
        <v>Voir sur Maps</v>
      </c>
      <c r="G86" s="22">
        <f>+VLOOKUP(TEXT(Tableau1[[#This Row],[Code INSEE]],"00000"),'[1]03_Déploiement_Prévu'!$A$3:$T$40,20,FALSE)</f>
        <v>1</v>
      </c>
      <c r="H86" s="22" t="str">
        <f>+IF(ISBLANK(VLOOKUP(Tableau1[[#This Row],[Code INSEE]],SYNTHESE_TRAVAUX!$A$2:$J$39,10,FALSE())),"")</f>
        <v/>
      </c>
      <c r="I86" s="20"/>
      <c r="J86" s="20"/>
      <c r="K86" s="20"/>
      <c r="L86" s="20"/>
      <c r="M86" s="20"/>
      <c r="N86" s="20"/>
      <c r="O86" s="23"/>
      <c r="P86" s="24"/>
    </row>
    <row r="87" spans="1:16" ht="15.75" customHeight="1" x14ac:dyDescent="0.25">
      <c r="A87">
        <v>14305</v>
      </c>
      <c r="B87" t="s">
        <v>88</v>
      </c>
      <c r="C87" t="s">
        <v>85</v>
      </c>
      <c r="D87" t="s">
        <v>210</v>
      </c>
      <c r="E87" t="s">
        <v>211</v>
      </c>
      <c r="F87" s="21" t="str">
        <f t="shared" si="2"/>
        <v>Voir sur Maps</v>
      </c>
      <c r="G87" s="22">
        <f>+VLOOKUP(TEXT(Tableau1[[#This Row],[Code INSEE]],"00000"),'[1]03_Déploiement_Prévu'!$A$3:$T$40,20,FALSE)</f>
        <v>1</v>
      </c>
      <c r="H87" s="22" t="str">
        <f>+IF(ISBLANK(VLOOKUP(Tableau1[[#This Row],[Code INSEE]],SYNTHESE_TRAVAUX!$A$2:$J$39,10,FALSE())),"")</f>
        <v/>
      </c>
      <c r="I87" s="20"/>
      <c r="J87" s="20"/>
      <c r="K87" s="20"/>
      <c r="L87" s="20"/>
      <c r="M87" s="20"/>
      <c r="N87" s="20"/>
      <c r="O87" s="23"/>
      <c r="P87" s="24"/>
    </row>
    <row r="88" spans="1:16" ht="15.75" customHeight="1" x14ac:dyDescent="0.25">
      <c r="A88">
        <v>14308</v>
      </c>
      <c r="B88" t="s">
        <v>97</v>
      </c>
      <c r="C88" t="s">
        <v>85</v>
      </c>
      <c r="D88" t="s">
        <v>238</v>
      </c>
      <c r="E88" t="s">
        <v>239</v>
      </c>
      <c r="F88" s="21" t="str">
        <f t="shared" si="2"/>
        <v>Voir sur Maps</v>
      </c>
      <c r="G88" s="22">
        <f>+VLOOKUP(TEXT(Tableau1[[#This Row],[Code INSEE]],"00000"),'[1]03_Déploiement_Prévu'!$A$3:$T$40,20,FALSE)</f>
        <v>2</v>
      </c>
      <c r="H88" s="22" t="str">
        <f>+IF(ISBLANK(VLOOKUP(Tableau1[[#This Row],[Code INSEE]],SYNTHESE_TRAVAUX!$A$2:$J$39,10,FALSE())),"")</f>
        <v/>
      </c>
      <c r="I88" s="20"/>
      <c r="J88" s="20"/>
      <c r="K88" s="20"/>
      <c r="L88" s="20"/>
      <c r="M88" s="20"/>
      <c r="N88" s="20"/>
      <c r="O88" s="23"/>
      <c r="P88" s="24"/>
    </row>
    <row r="89" spans="1:16" ht="15.75" customHeight="1" x14ac:dyDescent="0.25">
      <c r="A89">
        <v>14316</v>
      </c>
      <c r="B89" t="s">
        <v>98</v>
      </c>
      <c r="C89" t="s">
        <v>85</v>
      </c>
      <c r="D89" t="s">
        <v>343</v>
      </c>
      <c r="E89" t="s">
        <v>344</v>
      </c>
      <c r="F89" s="21" t="str">
        <f t="shared" si="2"/>
        <v>Voir sur Maps</v>
      </c>
      <c r="G89" s="22">
        <f>+VLOOKUP(TEXT(Tableau1[[#This Row],[Code INSEE]],"00000"),'[1]03_Déploiement_Prévu'!$A$3:$T$40,20,FALSE)</f>
        <v>2</v>
      </c>
      <c r="H89" s="22" t="str">
        <f>+IF(ISBLANK(VLOOKUP(Tableau1[[#This Row],[Code INSEE]],SYNTHESE_TRAVAUX!$A$2:$J$39,10,FALSE())),"")</f>
        <v/>
      </c>
      <c r="I89" s="20"/>
      <c r="J89" s="20"/>
      <c r="K89" s="20"/>
      <c r="L89" s="20"/>
      <c r="M89" s="20"/>
      <c r="N89" s="20"/>
      <c r="O89" s="23"/>
      <c r="P89" s="24"/>
    </row>
    <row r="90" spans="1:16" ht="15.75" customHeight="1" x14ac:dyDescent="0.25">
      <c r="A90">
        <v>14316</v>
      </c>
      <c r="B90" t="s">
        <v>98</v>
      </c>
      <c r="C90" t="s">
        <v>85</v>
      </c>
      <c r="D90" t="s">
        <v>345</v>
      </c>
      <c r="E90" t="s">
        <v>346</v>
      </c>
      <c r="F90" s="21" t="str">
        <f t="shared" si="2"/>
        <v>Voir sur Maps</v>
      </c>
      <c r="G90" s="22">
        <f>+VLOOKUP(TEXT(Tableau1[[#This Row],[Code INSEE]],"00000"),'[1]03_Déploiement_Prévu'!$A$3:$T$40,20,FALSE)</f>
        <v>2</v>
      </c>
      <c r="H90" s="22" t="str">
        <f>+IF(ISBLANK(VLOOKUP(Tableau1[[#This Row],[Code INSEE]],SYNTHESE_TRAVAUX!$A$2:$J$39,10,FALSE())),"")</f>
        <v/>
      </c>
      <c r="I90" s="20"/>
      <c r="J90" s="20"/>
      <c r="K90" s="20"/>
      <c r="L90" s="20"/>
      <c r="M90" s="20"/>
      <c r="N90" s="20"/>
      <c r="O90" s="23"/>
      <c r="P90" s="24"/>
    </row>
    <row r="91" spans="1:16" ht="15.75" customHeight="1" x14ac:dyDescent="0.25">
      <c r="A91">
        <v>14316</v>
      </c>
      <c r="B91" t="s">
        <v>98</v>
      </c>
      <c r="C91" t="s">
        <v>85</v>
      </c>
      <c r="D91" t="s">
        <v>347</v>
      </c>
      <c r="E91" t="s">
        <v>348</v>
      </c>
      <c r="F91" s="21" t="str">
        <f t="shared" si="2"/>
        <v>Voir sur Maps</v>
      </c>
      <c r="G91" s="22">
        <f>+VLOOKUP(TEXT(Tableau1[[#This Row],[Code INSEE]],"00000"),'[1]03_Déploiement_Prévu'!$A$3:$T$40,20,FALSE)</f>
        <v>2</v>
      </c>
      <c r="H91" s="22" t="str">
        <f>+IF(ISBLANK(VLOOKUP(Tableau1[[#This Row],[Code INSEE]],SYNTHESE_TRAVAUX!$A$2:$J$39,10,FALSE())),"")</f>
        <v/>
      </c>
      <c r="I91" s="20"/>
      <c r="J91" s="20"/>
      <c r="K91" s="20"/>
      <c r="L91" s="20"/>
      <c r="M91" s="20"/>
      <c r="N91" s="20"/>
      <c r="O91" s="23"/>
      <c r="P91" s="24"/>
    </row>
    <row r="92" spans="1:16" ht="15.75" customHeight="1" x14ac:dyDescent="0.25">
      <c r="A92">
        <v>14316</v>
      </c>
      <c r="B92" t="s">
        <v>98</v>
      </c>
      <c r="C92" t="s">
        <v>85</v>
      </c>
      <c r="D92" t="s">
        <v>349</v>
      </c>
      <c r="E92" t="s">
        <v>350</v>
      </c>
      <c r="F92" s="21" t="str">
        <f t="shared" si="2"/>
        <v>Voir sur Maps</v>
      </c>
      <c r="G92" s="22">
        <f>+VLOOKUP(TEXT(Tableau1[[#This Row],[Code INSEE]],"00000"),'[1]03_Déploiement_Prévu'!$A$3:$T$40,20,FALSE)</f>
        <v>2</v>
      </c>
      <c r="H92" s="22" t="str">
        <f>+IF(ISBLANK(VLOOKUP(Tableau1[[#This Row],[Code INSEE]],SYNTHESE_TRAVAUX!$A$2:$J$39,10,FALSE())),"")</f>
        <v/>
      </c>
      <c r="I92" s="20"/>
      <c r="J92" s="20"/>
      <c r="K92" s="20"/>
      <c r="L92" s="20"/>
      <c r="M92" s="20"/>
      <c r="N92" s="20"/>
      <c r="O92" s="23"/>
      <c r="P92" s="24"/>
    </row>
    <row r="93" spans="1:16" ht="15.75" customHeight="1" x14ac:dyDescent="0.25">
      <c r="A93">
        <v>14316</v>
      </c>
      <c r="B93" t="s">
        <v>98</v>
      </c>
      <c r="C93" t="s">
        <v>85</v>
      </c>
      <c r="D93" t="s">
        <v>351</v>
      </c>
      <c r="E93" t="s">
        <v>352</v>
      </c>
      <c r="F93" s="21" t="str">
        <f t="shared" si="2"/>
        <v>Voir sur Maps</v>
      </c>
      <c r="G93" s="22">
        <f>+VLOOKUP(TEXT(Tableau1[[#This Row],[Code INSEE]],"00000"),'[1]03_Déploiement_Prévu'!$A$3:$T$40,20,FALSE)</f>
        <v>2</v>
      </c>
      <c r="H93" s="22" t="str">
        <f>+IF(ISBLANK(VLOOKUP(Tableau1[[#This Row],[Code INSEE]],SYNTHESE_TRAVAUX!$A$2:$J$39,10,FALSE())),"")</f>
        <v/>
      </c>
      <c r="I93" s="20"/>
      <c r="J93" s="20"/>
      <c r="K93" s="20"/>
      <c r="L93" s="20"/>
      <c r="M93" s="20"/>
      <c r="N93" s="20"/>
      <c r="O93" s="23"/>
      <c r="P93" s="24"/>
    </row>
    <row r="94" spans="1:16" ht="15.75" customHeight="1" x14ac:dyDescent="0.25">
      <c r="A94">
        <v>14316</v>
      </c>
      <c r="B94" t="s">
        <v>98</v>
      </c>
      <c r="C94" t="s">
        <v>85</v>
      </c>
      <c r="D94" t="s">
        <v>318</v>
      </c>
      <c r="E94" t="s">
        <v>318</v>
      </c>
      <c r="F94" s="21" t="str">
        <f t="shared" si="2"/>
        <v>Voir sur Maps</v>
      </c>
      <c r="G94" s="22">
        <f>+VLOOKUP(TEXT(Tableau1[[#This Row],[Code INSEE]],"00000"),'[1]03_Déploiement_Prévu'!$A$3:$T$40,20,FALSE)</f>
        <v>2</v>
      </c>
      <c r="H94" s="22" t="str">
        <f>+IF(ISBLANK(VLOOKUP(Tableau1[[#This Row],[Code INSEE]],SYNTHESE_TRAVAUX!$A$2:$J$39,10,FALSE())),"")</f>
        <v/>
      </c>
      <c r="I94" s="20"/>
      <c r="J94" s="20"/>
      <c r="K94" s="20"/>
      <c r="L94" s="20"/>
      <c r="M94" s="20"/>
      <c r="N94" s="20"/>
      <c r="O94" s="23"/>
      <c r="P94" s="24"/>
    </row>
    <row r="95" spans="1:16" ht="15.75" customHeight="1" x14ac:dyDescent="0.25">
      <c r="A95">
        <v>14316</v>
      </c>
      <c r="B95" t="s">
        <v>98</v>
      </c>
      <c r="C95" t="s">
        <v>85</v>
      </c>
      <c r="D95" t="s">
        <v>318</v>
      </c>
      <c r="E95" t="s">
        <v>318</v>
      </c>
      <c r="F95" s="21" t="str">
        <f t="shared" si="2"/>
        <v>Voir sur Maps</v>
      </c>
      <c r="G95" s="22">
        <f>+VLOOKUP(TEXT(Tableau1[[#This Row],[Code INSEE]],"00000"),'[1]03_Déploiement_Prévu'!$A$3:$T$40,20,FALSE)</f>
        <v>2</v>
      </c>
      <c r="H95" s="22" t="str">
        <f>+IF(ISBLANK(VLOOKUP(Tableau1[[#This Row],[Code INSEE]],SYNTHESE_TRAVAUX!$A$2:$J$39,10,FALSE())),"")</f>
        <v/>
      </c>
      <c r="I95" s="20"/>
      <c r="J95" s="20"/>
      <c r="K95" s="20"/>
      <c r="L95" s="20"/>
      <c r="M95" s="20"/>
      <c r="N95" s="20"/>
      <c r="O95" s="23"/>
      <c r="P95" s="24"/>
    </row>
    <row r="96" spans="1:16" ht="15.75" customHeight="1" x14ac:dyDescent="0.25">
      <c r="A96">
        <v>14329</v>
      </c>
      <c r="B96" t="s">
        <v>111</v>
      </c>
      <c r="C96" t="s">
        <v>85</v>
      </c>
      <c r="D96" t="s">
        <v>353</v>
      </c>
      <c r="E96" t="s">
        <v>354</v>
      </c>
      <c r="F96" s="21" t="str">
        <f t="shared" si="2"/>
        <v>Voir sur Maps</v>
      </c>
      <c r="G96" s="22">
        <f>+VLOOKUP(TEXT(Tableau1[[#This Row],[Code INSEE]],"00000"),'[1]03_Déploiement_Prévu'!$A$3:$T$40,20,FALSE)</f>
        <v>4</v>
      </c>
      <c r="H96" s="22" t="str">
        <f>+IF(ISBLANK(VLOOKUP(Tableau1[[#This Row],[Code INSEE]],SYNTHESE_TRAVAUX!$A$2:$J$39,10,FALSE())),"")</f>
        <v/>
      </c>
      <c r="I96" s="20"/>
      <c r="J96" s="20"/>
      <c r="K96" s="20"/>
      <c r="L96" s="20"/>
      <c r="M96" s="20"/>
      <c r="N96" s="20"/>
      <c r="O96" s="23"/>
      <c r="P96" s="24"/>
    </row>
    <row r="97" spans="1:16" ht="15.75" customHeight="1" x14ac:dyDescent="0.25">
      <c r="A97">
        <v>14338</v>
      </c>
      <c r="B97" t="s">
        <v>112</v>
      </c>
      <c r="C97" t="s">
        <v>85</v>
      </c>
      <c r="D97" t="s">
        <v>355</v>
      </c>
      <c r="E97" t="s">
        <v>356</v>
      </c>
      <c r="F97" s="21" t="str">
        <f t="shared" si="2"/>
        <v>Voir sur Maps</v>
      </c>
      <c r="G97" s="22">
        <f>+VLOOKUP(TEXT(Tableau1[[#This Row],[Code INSEE]],"00000"),'[1]03_Déploiement_Prévu'!$A$3:$T$40,20,FALSE)</f>
        <v>4</v>
      </c>
      <c r="H97" s="22" t="str">
        <f>+IF(ISBLANK(VLOOKUP(Tableau1[[#This Row],[Code INSEE]],SYNTHESE_TRAVAUX!$A$2:$J$39,10,FALSE())),"")</f>
        <v/>
      </c>
      <c r="I97" s="20"/>
      <c r="J97" s="20"/>
      <c r="K97" s="20"/>
      <c r="L97" s="20"/>
      <c r="M97" s="20"/>
      <c r="N97" s="20"/>
      <c r="O97" s="23"/>
      <c r="P97" s="24"/>
    </row>
    <row r="98" spans="1:16" ht="15.75" customHeight="1" x14ac:dyDescent="0.25">
      <c r="A98">
        <v>14338</v>
      </c>
      <c r="B98" t="s">
        <v>112</v>
      </c>
      <c r="C98" t="s">
        <v>85</v>
      </c>
      <c r="D98" t="s">
        <v>357</v>
      </c>
      <c r="E98" t="s">
        <v>358</v>
      </c>
      <c r="F98" s="21" t="str">
        <f t="shared" si="2"/>
        <v>Voir sur Maps</v>
      </c>
      <c r="G98" s="22">
        <f>+VLOOKUP(TEXT(Tableau1[[#This Row],[Code INSEE]],"00000"),'[1]03_Déploiement_Prévu'!$A$3:$T$40,20,FALSE)</f>
        <v>4</v>
      </c>
      <c r="H98" s="22" t="str">
        <f>+IF(ISBLANK(VLOOKUP(Tableau1[[#This Row],[Code INSEE]],SYNTHESE_TRAVAUX!$A$2:$J$39,10,FALSE())),"")</f>
        <v/>
      </c>
      <c r="I98" s="20"/>
      <c r="J98" s="20"/>
      <c r="K98" s="20"/>
      <c r="L98" s="20"/>
      <c r="M98" s="20"/>
      <c r="N98" s="20"/>
      <c r="O98" s="23"/>
      <c r="P98" s="24"/>
    </row>
    <row r="99" spans="1:16" ht="15.75" customHeight="1" x14ac:dyDescent="0.25">
      <c r="A99">
        <v>14338</v>
      </c>
      <c r="B99" t="s">
        <v>112</v>
      </c>
      <c r="C99" t="s">
        <v>85</v>
      </c>
      <c r="D99" t="s">
        <v>357</v>
      </c>
      <c r="E99" t="s">
        <v>358</v>
      </c>
      <c r="F99" s="21" t="str">
        <f t="shared" ref="F99:F138" si="3">+IFERROR(HYPERLINK("https://www.google.com/maps/search/?api=1&amp;query="&amp;D99&amp;","&amp;E99,"Voir sur Maps"),"")</f>
        <v>Voir sur Maps</v>
      </c>
      <c r="G99" s="22">
        <f>+VLOOKUP(TEXT(Tableau1[[#This Row],[Code INSEE]],"00000"),'[1]03_Déploiement_Prévu'!$A$3:$T$40,20,FALSE)</f>
        <v>4</v>
      </c>
      <c r="H99" s="22" t="str">
        <f>+IF(ISBLANK(VLOOKUP(Tableau1[[#This Row],[Code INSEE]],SYNTHESE_TRAVAUX!$A$2:$J$39,10,FALSE())),"")</f>
        <v/>
      </c>
      <c r="I99" s="20"/>
      <c r="J99" s="20"/>
      <c r="K99" s="20"/>
      <c r="L99" s="20"/>
      <c r="M99" s="20"/>
      <c r="N99" s="20"/>
      <c r="O99" s="23"/>
      <c r="P99" s="24"/>
    </row>
    <row r="100" spans="1:16" ht="15.75" customHeight="1" x14ac:dyDescent="0.25">
      <c r="A100">
        <v>14338</v>
      </c>
      <c r="B100" t="s">
        <v>112</v>
      </c>
      <c r="C100" t="s">
        <v>85</v>
      </c>
      <c r="D100" t="s">
        <v>359</v>
      </c>
      <c r="E100" t="s">
        <v>360</v>
      </c>
      <c r="F100" s="21" t="str">
        <f t="shared" si="3"/>
        <v>Voir sur Maps</v>
      </c>
      <c r="G100" s="22">
        <f>+VLOOKUP(TEXT(Tableau1[[#This Row],[Code INSEE]],"00000"),'[1]03_Déploiement_Prévu'!$A$3:$T$40,20,FALSE)</f>
        <v>4</v>
      </c>
      <c r="H100" s="22" t="str">
        <f>+IF(ISBLANK(VLOOKUP(Tableau1[[#This Row],[Code INSEE]],SYNTHESE_TRAVAUX!$A$2:$J$39,10,FALSE())),"")</f>
        <v/>
      </c>
      <c r="I100" s="20"/>
      <c r="J100" s="20"/>
      <c r="K100" s="20"/>
      <c r="L100" s="20"/>
      <c r="M100" s="20"/>
      <c r="N100" s="20"/>
      <c r="O100" s="23"/>
      <c r="P100" s="24"/>
    </row>
    <row r="101" spans="1:16" ht="15.75" customHeight="1" x14ac:dyDescent="0.25">
      <c r="A101">
        <v>14338</v>
      </c>
      <c r="B101" t="s">
        <v>112</v>
      </c>
      <c r="C101" t="s">
        <v>85</v>
      </c>
      <c r="D101" t="s">
        <v>244</v>
      </c>
      <c r="E101" t="s">
        <v>245</v>
      </c>
      <c r="F101" s="21" t="str">
        <f t="shared" si="3"/>
        <v>Voir sur Maps</v>
      </c>
      <c r="G101" s="22">
        <f>+VLOOKUP(TEXT(Tableau1[[#This Row],[Code INSEE]],"00000"),'[1]03_Déploiement_Prévu'!$A$3:$T$40,20,FALSE)</f>
        <v>4</v>
      </c>
      <c r="H101" s="22" t="str">
        <f>+IF(ISBLANK(VLOOKUP(Tableau1[[#This Row],[Code INSEE]],SYNTHESE_TRAVAUX!$A$2:$J$39,10,FALSE())),"")</f>
        <v/>
      </c>
      <c r="I101" s="20"/>
      <c r="J101" s="20"/>
      <c r="K101" s="20"/>
      <c r="L101" s="20"/>
      <c r="M101" s="20"/>
      <c r="N101" s="20"/>
      <c r="O101" s="23"/>
      <c r="P101" s="24"/>
    </row>
    <row r="102" spans="1:16" ht="15.75" customHeight="1" x14ac:dyDescent="0.25">
      <c r="A102">
        <v>14338</v>
      </c>
      <c r="B102" t="s">
        <v>112</v>
      </c>
      <c r="C102" t="s">
        <v>85</v>
      </c>
      <c r="D102" t="s">
        <v>246</v>
      </c>
      <c r="E102" t="s">
        <v>247</v>
      </c>
      <c r="F102" s="21" t="str">
        <f t="shared" si="3"/>
        <v>Voir sur Maps</v>
      </c>
      <c r="G102" s="22">
        <f>+VLOOKUP(TEXT(Tableau1[[#This Row],[Code INSEE]],"00000"),'[1]03_Déploiement_Prévu'!$A$3:$T$40,20,FALSE)</f>
        <v>4</v>
      </c>
      <c r="H102" s="22" t="str">
        <f>+IF(ISBLANK(VLOOKUP(Tableau1[[#This Row],[Code INSEE]],SYNTHESE_TRAVAUX!$A$2:$J$39,10,FALSE())),"")</f>
        <v/>
      </c>
      <c r="I102" s="20"/>
      <c r="J102" s="20"/>
      <c r="K102" s="20"/>
      <c r="L102" s="20"/>
      <c r="M102" s="20"/>
      <c r="N102" s="20"/>
      <c r="O102" s="23"/>
      <c r="P102" s="24"/>
    </row>
    <row r="103" spans="1:16" ht="15.75" customHeight="1" x14ac:dyDescent="0.25">
      <c r="A103">
        <v>14338</v>
      </c>
      <c r="B103" t="s">
        <v>112</v>
      </c>
      <c r="C103" t="s">
        <v>85</v>
      </c>
      <c r="D103" t="s">
        <v>244</v>
      </c>
      <c r="E103" t="s">
        <v>245</v>
      </c>
      <c r="F103" s="21" t="str">
        <f t="shared" si="3"/>
        <v>Voir sur Maps</v>
      </c>
      <c r="G103" s="22">
        <f>+VLOOKUP(TEXT(Tableau1[[#This Row],[Code INSEE]],"00000"),'[1]03_Déploiement_Prévu'!$A$3:$T$40,20,FALSE)</f>
        <v>4</v>
      </c>
      <c r="H103" s="22" t="str">
        <f>+IF(ISBLANK(VLOOKUP(Tableau1[[#This Row],[Code INSEE]],SYNTHESE_TRAVAUX!$A$2:$J$39,10,FALSE())),"")</f>
        <v/>
      </c>
      <c r="I103" s="20"/>
      <c r="J103" s="20"/>
      <c r="K103" s="20"/>
      <c r="L103" s="20"/>
      <c r="M103" s="20"/>
      <c r="N103" s="20"/>
      <c r="O103" s="23"/>
      <c r="P103" s="24"/>
    </row>
    <row r="104" spans="1:16" ht="15.75" customHeight="1" x14ac:dyDescent="0.25">
      <c r="A104">
        <v>14338</v>
      </c>
      <c r="B104" t="s">
        <v>112</v>
      </c>
      <c r="C104" t="s">
        <v>85</v>
      </c>
      <c r="D104" t="s">
        <v>361</v>
      </c>
      <c r="E104" t="s">
        <v>362</v>
      </c>
      <c r="F104" s="21" t="str">
        <f t="shared" si="3"/>
        <v>Voir sur Maps</v>
      </c>
      <c r="G104" s="22">
        <f>+VLOOKUP(TEXT(Tableau1[[#This Row],[Code INSEE]],"00000"),'[1]03_Déploiement_Prévu'!$A$3:$T$40,20,FALSE)</f>
        <v>4</v>
      </c>
      <c r="H104" s="22" t="str">
        <f>+IF(ISBLANK(VLOOKUP(Tableau1[[#This Row],[Code INSEE]],SYNTHESE_TRAVAUX!$A$2:$J$39,10,FALSE())),"")</f>
        <v/>
      </c>
      <c r="I104" s="20"/>
      <c r="J104" s="20"/>
      <c r="K104" s="20"/>
      <c r="L104" s="20"/>
      <c r="M104" s="20"/>
      <c r="N104" s="20"/>
      <c r="O104" s="23"/>
      <c r="P104" s="24"/>
    </row>
    <row r="105" spans="1:16" ht="15.75" customHeight="1" x14ac:dyDescent="0.25">
      <c r="A105">
        <v>14338</v>
      </c>
      <c r="B105" t="s">
        <v>112</v>
      </c>
      <c r="C105" t="s">
        <v>85</v>
      </c>
      <c r="D105" t="s">
        <v>363</v>
      </c>
      <c r="E105" t="s">
        <v>364</v>
      </c>
      <c r="F105" s="21" t="str">
        <f t="shared" si="3"/>
        <v>Voir sur Maps</v>
      </c>
      <c r="G105" s="22">
        <f>+VLOOKUP(TEXT(Tableau1[[#This Row],[Code INSEE]],"00000"),'[1]03_Déploiement_Prévu'!$A$3:$T$40,20,FALSE)</f>
        <v>4</v>
      </c>
      <c r="H105" s="22" t="str">
        <f>+IF(ISBLANK(VLOOKUP(Tableau1[[#This Row],[Code INSEE]],SYNTHESE_TRAVAUX!$A$2:$J$39,10,FALSE())),"")</f>
        <v/>
      </c>
      <c r="I105" s="20"/>
      <c r="J105" s="20"/>
      <c r="K105" s="20"/>
      <c r="L105" s="20"/>
      <c r="M105" s="20"/>
      <c r="N105" s="20"/>
      <c r="O105" s="23"/>
      <c r="P105" s="24"/>
    </row>
    <row r="106" spans="1:16" ht="15.75" customHeight="1" x14ac:dyDescent="0.25">
      <c r="A106">
        <v>14338</v>
      </c>
      <c r="B106" t="s">
        <v>112</v>
      </c>
      <c r="C106" t="s">
        <v>85</v>
      </c>
      <c r="D106" t="s">
        <v>212</v>
      </c>
      <c r="E106" t="s">
        <v>213</v>
      </c>
      <c r="F106" s="21" t="str">
        <f t="shared" si="3"/>
        <v>Voir sur Maps</v>
      </c>
      <c r="G106" s="22">
        <f>+VLOOKUP(TEXT(Tableau1[[#This Row],[Code INSEE]],"00000"),'[1]03_Déploiement_Prévu'!$A$3:$T$40,20,FALSE)</f>
        <v>4</v>
      </c>
      <c r="H106" s="22" t="str">
        <f>+IF(ISBLANK(VLOOKUP(Tableau1[[#This Row],[Code INSEE]],SYNTHESE_TRAVAUX!$A$2:$J$39,10,FALSE())),"")</f>
        <v/>
      </c>
      <c r="I106" s="20"/>
      <c r="J106" s="20"/>
      <c r="K106" s="20"/>
      <c r="L106" s="20"/>
      <c r="M106" s="20"/>
      <c r="N106" s="20"/>
      <c r="O106" s="23"/>
      <c r="P106" s="24"/>
    </row>
    <row r="107" spans="1:16" ht="15.75" customHeight="1" x14ac:dyDescent="0.25">
      <c r="A107">
        <v>14338</v>
      </c>
      <c r="B107" t="s">
        <v>112</v>
      </c>
      <c r="C107" t="s">
        <v>85</v>
      </c>
      <c r="D107" t="s">
        <v>212</v>
      </c>
      <c r="E107" t="s">
        <v>213</v>
      </c>
      <c r="F107" s="21" t="str">
        <f t="shared" si="3"/>
        <v>Voir sur Maps</v>
      </c>
      <c r="G107" s="22">
        <f>+VLOOKUP(TEXT(Tableau1[[#This Row],[Code INSEE]],"00000"),'[1]03_Déploiement_Prévu'!$A$3:$T$40,20,FALSE)</f>
        <v>4</v>
      </c>
      <c r="H107" s="22" t="str">
        <f>+IF(ISBLANK(VLOOKUP(Tableau1[[#This Row],[Code INSEE]],SYNTHESE_TRAVAUX!$A$2:$J$39,10,FALSE())),"")</f>
        <v/>
      </c>
      <c r="I107" s="20"/>
      <c r="J107" s="20"/>
      <c r="K107" s="20"/>
      <c r="L107" s="20"/>
      <c r="M107" s="20"/>
      <c r="N107" s="20"/>
      <c r="O107" s="23"/>
      <c r="P107" s="24"/>
    </row>
    <row r="108" spans="1:16" ht="15.75" customHeight="1" x14ac:dyDescent="0.25">
      <c r="A108">
        <v>14338</v>
      </c>
      <c r="B108" t="s">
        <v>112</v>
      </c>
      <c r="C108" t="s">
        <v>85</v>
      </c>
      <c r="D108" t="s">
        <v>248</v>
      </c>
      <c r="E108" t="s">
        <v>249</v>
      </c>
      <c r="F108" s="21" t="str">
        <f t="shared" si="3"/>
        <v>Voir sur Maps</v>
      </c>
      <c r="G108" s="22">
        <f>+VLOOKUP(TEXT(Tableau1[[#This Row],[Code INSEE]],"00000"),'[1]03_Déploiement_Prévu'!$A$3:$T$40,20,FALSE)</f>
        <v>4</v>
      </c>
      <c r="H108" s="22" t="str">
        <f>+IF(ISBLANK(VLOOKUP(Tableau1[[#This Row],[Code INSEE]],SYNTHESE_TRAVAUX!$A$2:$J$39,10,FALSE())),"")</f>
        <v/>
      </c>
      <c r="I108" s="20"/>
      <c r="J108" s="20"/>
      <c r="K108" s="20"/>
      <c r="L108" s="20"/>
      <c r="M108" s="20"/>
      <c r="N108" s="20"/>
      <c r="O108" s="23"/>
      <c r="P108" s="24"/>
    </row>
    <row r="109" spans="1:16" ht="15.75" customHeight="1" x14ac:dyDescent="0.25">
      <c r="A109">
        <v>14338</v>
      </c>
      <c r="B109" t="s">
        <v>112</v>
      </c>
      <c r="C109" t="s">
        <v>85</v>
      </c>
      <c r="D109" t="s">
        <v>250</v>
      </c>
      <c r="E109" t="s">
        <v>251</v>
      </c>
      <c r="F109" s="21" t="str">
        <f t="shared" si="3"/>
        <v>Voir sur Maps</v>
      </c>
      <c r="G109" s="22">
        <f>+VLOOKUP(TEXT(Tableau1[[#This Row],[Code INSEE]],"00000"),'[1]03_Déploiement_Prévu'!$A$3:$T$40,20,FALSE)</f>
        <v>4</v>
      </c>
      <c r="H109" s="22" t="str">
        <f>+IF(ISBLANK(VLOOKUP(Tableau1[[#This Row],[Code INSEE]],SYNTHESE_TRAVAUX!$A$2:$J$39,10,FALSE())),"")</f>
        <v/>
      </c>
      <c r="I109" s="20"/>
      <c r="J109" s="20"/>
      <c r="K109" s="20"/>
      <c r="L109" s="20"/>
      <c r="M109" s="20"/>
      <c r="N109" s="20"/>
      <c r="O109" s="23"/>
      <c r="P109" s="24"/>
    </row>
    <row r="110" spans="1:16" ht="15.75" customHeight="1" x14ac:dyDescent="0.25">
      <c r="A110">
        <v>14338</v>
      </c>
      <c r="B110" t="s">
        <v>112</v>
      </c>
      <c r="C110" t="s">
        <v>85</v>
      </c>
      <c r="D110" t="s">
        <v>250</v>
      </c>
      <c r="E110" t="s">
        <v>251</v>
      </c>
      <c r="F110" s="21" t="str">
        <f t="shared" si="3"/>
        <v>Voir sur Maps</v>
      </c>
      <c r="G110" s="22">
        <f>+VLOOKUP(TEXT(Tableau1[[#This Row],[Code INSEE]],"00000"),'[1]03_Déploiement_Prévu'!$A$3:$T$40,20,FALSE)</f>
        <v>4</v>
      </c>
      <c r="H110" s="22" t="str">
        <f>+IF(ISBLANK(VLOOKUP(Tableau1[[#This Row],[Code INSEE]],SYNTHESE_TRAVAUX!$A$2:$J$39,10,FALSE())),"")</f>
        <v/>
      </c>
      <c r="I110" s="20"/>
      <c r="J110" s="20"/>
      <c r="K110" s="20"/>
      <c r="L110" s="20"/>
      <c r="M110" s="20"/>
      <c r="N110" s="20"/>
      <c r="O110" s="23"/>
      <c r="P110" s="24"/>
    </row>
    <row r="111" spans="1:16" ht="15.75" customHeight="1" x14ac:dyDescent="0.25">
      <c r="A111">
        <v>14409</v>
      </c>
      <c r="B111" t="s">
        <v>113</v>
      </c>
      <c r="C111" t="s">
        <v>85</v>
      </c>
      <c r="D111" t="s">
        <v>365</v>
      </c>
      <c r="E111" t="s">
        <v>366</v>
      </c>
      <c r="F111" s="21" t="str">
        <f t="shared" si="3"/>
        <v>Voir sur Maps</v>
      </c>
      <c r="G111" s="22">
        <f>+VLOOKUP(TEXT(Tableau1[[#This Row],[Code INSEE]],"00000"),'[1]03_Déploiement_Prévu'!$A$3:$T$40,20,FALSE)</f>
        <v>4</v>
      </c>
      <c r="H111" s="22" t="str">
        <f>+IF(ISBLANK(VLOOKUP(Tableau1[[#This Row],[Code INSEE]],SYNTHESE_TRAVAUX!$A$2:$J$39,10,FALSE())),"")</f>
        <v/>
      </c>
      <c r="I111" s="20"/>
      <c r="J111" s="20"/>
      <c r="K111" s="20"/>
      <c r="L111" s="20"/>
      <c r="M111" s="20"/>
      <c r="N111" s="20"/>
      <c r="O111" s="23"/>
      <c r="P111" s="24"/>
    </row>
    <row r="112" spans="1:16" ht="15.75" customHeight="1" x14ac:dyDescent="0.25">
      <c r="A112">
        <v>14530</v>
      </c>
      <c r="B112" t="s">
        <v>114</v>
      </c>
      <c r="C112" t="s">
        <v>85</v>
      </c>
      <c r="D112" t="s">
        <v>367</v>
      </c>
      <c r="E112" t="s">
        <v>368</v>
      </c>
      <c r="F112" s="21" t="str">
        <f t="shared" si="3"/>
        <v>Voir sur Maps</v>
      </c>
      <c r="G112" s="22">
        <f>+VLOOKUP(TEXT(Tableau1[[#This Row],[Code INSEE]],"00000"),'[1]03_Déploiement_Prévu'!$A$3:$T$40,20,FALSE)</f>
        <v>4</v>
      </c>
      <c r="H112" s="22" t="str">
        <f>+IF(ISBLANK(VLOOKUP(Tableau1[[#This Row],[Code INSEE]],SYNTHESE_TRAVAUX!$A$2:$J$39,10,FALSE())),"")</f>
        <v/>
      </c>
      <c r="I112" s="20"/>
      <c r="J112" s="20"/>
      <c r="K112" s="20"/>
      <c r="L112" s="20"/>
      <c r="M112" s="20"/>
      <c r="N112" s="20"/>
      <c r="O112" s="23"/>
      <c r="P112" s="24"/>
    </row>
    <row r="113" spans="1:16" ht="15.75" customHeight="1" x14ac:dyDescent="0.25">
      <c r="A113">
        <v>14550</v>
      </c>
      <c r="B113" t="s">
        <v>89</v>
      </c>
      <c r="C113" t="s">
        <v>85</v>
      </c>
      <c r="D113" t="s">
        <v>369</v>
      </c>
      <c r="E113" t="s">
        <v>370</v>
      </c>
      <c r="F113" s="21" t="str">
        <f t="shared" si="3"/>
        <v>Voir sur Maps</v>
      </c>
      <c r="G113" s="22">
        <f>+VLOOKUP(TEXT(Tableau1[[#This Row],[Code INSEE]],"00000"),'[1]03_Déploiement_Prévu'!$A$3:$T$40,20,FALSE)</f>
        <v>1</v>
      </c>
      <c r="H113" s="22" t="str">
        <f>+IF(ISBLANK(VLOOKUP(Tableau1[[#This Row],[Code INSEE]],SYNTHESE_TRAVAUX!$A$2:$J$39,10,FALSE())),"")</f>
        <v/>
      </c>
      <c r="I113" s="20"/>
      <c r="J113" s="20"/>
      <c r="K113" s="20"/>
      <c r="L113" s="20"/>
      <c r="M113" s="20"/>
      <c r="N113" s="20"/>
      <c r="O113" s="23"/>
      <c r="P113" s="24"/>
    </row>
    <row r="114" spans="1:16" ht="15.75" customHeight="1" x14ac:dyDescent="0.25">
      <c r="A114">
        <v>14550</v>
      </c>
      <c r="B114" t="s">
        <v>89</v>
      </c>
      <c r="C114" t="s">
        <v>85</v>
      </c>
      <c r="D114" t="s">
        <v>371</v>
      </c>
      <c r="E114" t="s">
        <v>372</v>
      </c>
      <c r="F114" s="21" t="str">
        <f t="shared" si="3"/>
        <v>Voir sur Maps</v>
      </c>
      <c r="G114" s="22">
        <f>+VLOOKUP(TEXT(Tableau1[[#This Row],[Code INSEE]],"00000"),'[1]03_Déploiement_Prévu'!$A$3:$T$40,20,FALSE)</f>
        <v>1</v>
      </c>
      <c r="H114" s="22" t="str">
        <f>+IF(ISBLANK(VLOOKUP(Tableau1[[#This Row],[Code INSEE]],SYNTHESE_TRAVAUX!$A$2:$J$39,10,FALSE())),"")</f>
        <v/>
      </c>
      <c r="I114" s="20"/>
      <c r="J114" s="20"/>
      <c r="K114" s="20"/>
      <c r="L114" s="20"/>
      <c r="M114" s="20"/>
      <c r="N114" s="20"/>
      <c r="O114" s="23"/>
      <c r="P114" s="24"/>
    </row>
    <row r="115" spans="1:16" ht="15.75" customHeight="1" x14ac:dyDescent="0.25">
      <c r="A115">
        <v>14598</v>
      </c>
      <c r="B115" t="s">
        <v>104</v>
      </c>
      <c r="C115" t="s">
        <v>85</v>
      </c>
      <c r="D115" t="s">
        <v>373</v>
      </c>
      <c r="E115" t="s">
        <v>374</v>
      </c>
      <c r="F115" s="21" t="str">
        <f t="shared" si="3"/>
        <v>Voir sur Maps</v>
      </c>
      <c r="G115" s="22">
        <f>+VLOOKUP(TEXT(Tableau1[[#This Row],[Code INSEE]],"00000"),'[1]03_Déploiement_Prévu'!$A$3:$T$40,20,FALSE)</f>
        <v>3</v>
      </c>
      <c r="H115" s="22" t="str">
        <f>+IF(ISBLANK(VLOOKUP(Tableau1[[#This Row],[Code INSEE]],SYNTHESE_TRAVAUX!$A$2:$J$39,10,FALSE())),"")</f>
        <v/>
      </c>
      <c r="I115" s="20"/>
      <c r="J115" s="20"/>
      <c r="K115" s="20"/>
      <c r="L115" s="20"/>
      <c r="M115" s="20"/>
      <c r="N115" s="20"/>
      <c r="O115" s="23"/>
      <c r="P115" s="24"/>
    </row>
    <row r="116" spans="1:16" ht="15.75" customHeight="1" x14ac:dyDescent="0.25">
      <c r="A116">
        <v>14598</v>
      </c>
      <c r="B116" t="s">
        <v>104</v>
      </c>
      <c r="C116" t="s">
        <v>85</v>
      </c>
      <c r="D116" t="s">
        <v>375</v>
      </c>
      <c r="E116" t="s">
        <v>376</v>
      </c>
      <c r="F116" s="21" t="str">
        <f t="shared" si="3"/>
        <v>Voir sur Maps</v>
      </c>
      <c r="G116" s="22">
        <f>+VLOOKUP(TEXT(Tableau1[[#This Row],[Code INSEE]],"00000"),'[1]03_Déploiement_Prévu'!$A$3:$T$40,20,FALSE)</f>
        <v>3</v>
      </c>
      <c r="H116" s="22" t="str">
        <f>+IF(ISBLANK(VLOOKUP(Tableau1[[#This Row],[Code INSEE]],SYNTHESE_TRAVAUX!$A$2:$J$39,10,FALSE())),"")</f>
        <v/>
      </c>
      <c r="I116" s="20"/>
      <c r="J116" s="20"/>
      <c r="K116" s="20"/>
      <c r="L116" s="20"/>
      <c r="M116" s="20"/>
      <c r="N116" s="20"/>
      <c r="O116" s="23"/>
      <c r="P116" s="24"/>
    </row>
    <row r="117" spans="1:16" ht="15.75" customHeight="1" x14ac:dyDescent="0.25">
      <c r="A117">
        <v>14598</v>
      </c>
      <c r="B117" t="s">
        <v>104</v>
      </c>
      <c r="C117" t="s">
        <v>85</v>
      </c>
      <c r="D117" t="s">
        <v>318</v>
      </c>
      <c r="E117" t="s">
        <v>318</v>
      </c>
      <c r="F117" s="21" t="str">
        <f t="shared" si="3"/>
        <v>Voir sur Maps</v>
      </c>
      <c r="G117" s="22">
        <f>+VLOOKUP(TEXT(Tableau1[[#This Row],[Code INSEE]],"00000"),'[1]03_Déploiement_Prévu'!$A$3:$T$40,20,FALSE)</f>
        <v>3</v>
      </c>
      <c r="H117" s="22" t="str">
        <f>+IF(ISBLANK(VLOOKUP(Tableau1[[#This Row],[Code INSEE]],SYNTHESE_TRAVAUX!$A$2:$J$39,10,FALSE())),"")</f>
        <v/>
      </c>
      <c r="I117" s="20"/>
      <c r="J117" s="20"/>
      <c r="K117" s="20"/>
      <c r="L117" s="20"/>
      <c r="M117" s="20"/>
      <c r="N117" s="20"/>
      <c r="O117" s="23"/>
      <c r="P117" s="24"/>
    </row>
    <row r="118" spans="1:16" ht="15.75" customHeight="1" x14ac:dyDescent="0.25">
      <c r="A118">
        <v>14606</v>
      </c>
      <c r="B118" t="s">
        <v>115</v>
      </c>
      <c r="C118" t="s">
        <v>85</v>
      </c>
      <c r="D118" t="s">
        <v>377</v>
      </c>
      <c r="E118" t="s">
        <v>378</v>
      </c>
      <c r="F118" s="21" t="str">
        <f t="shared" si="3"/>
        <v>Voir sur Maps</v>
      </c>
      <c r="G118" s="22">
        <f>+VLOOKUP(TEXT(Tableau1[[#This Row],[Code INSEE]],"00000"),'[1]03_Déploiement_Prévu'!$A$3:$T$40,20,FALSE)</f>
        <v>4</v>
      </c>
      <c r="H118" s="22" t="str">
        <f>+IF(ISBLANK(VLOOKUP(Tableau1[[#This Row],[Code INSEE]],SYNTHESE_TRAVAUX!$A$2:$J$39,10,FALSE())),"")</f>
        <v/>
      </c>
      <c r="I118" s="20"/>
      <c r="J118" s="20"/>
      <c r="K118" s="20"/>
      <c r="L118" s="20"/>
      <c r="M118" s="20"/>
      <c r="N118" s="20"/>
      <c r="O118" s="23"/>
      <c r="P118" s="24"/>
    </row>
    <row r="119" spans="1:16" ht="15.75" customHeight="1" x14ac:dyDescent="0.25">
      <c r="A119">
        <v>14606</v>
      </c>
      <c r="B119" t="s">
        <v>115</v>
      </c>
      <c r="C119" t="s">
        <v>85</v>
      </c>
      <c r="D119" t="s">
        <v>375</v>
      </c>
      <c r="E119" t="s">
        <v>376</v>
      </c>
      <c r="F119" s="21" t="str">
        <f t="shared" si="3"/>
        <v>Voir sur Maps</v>
      </c>
      <c r="G119" s="22">
        <f>+VLOOKUP(TEXT(Tableau1[[#This Row],[Code INSEE]],"00000"),'[1]03_Déploiement_Prévu'!$A$3:$T$40,20,FALSE)</f>
        <v>4</v>
      </c>
      <c r="H119" s="22" t="str">
        <f>+IF(ISBLANK(VLOOKUP(Tableau1[[#This Row],[Code INSEE]],SYNTHESE_TRAVAUX!$A$2:$J$39,10,FALSE())),"")</f>
        <v/>
      </c>
      <c r="I119" s="20"/>
      <c r="J119" s="20"/>
      <c r="K119" s="20"/>
      <c r="L119" s="20"/>
      <c r="M119" s="20"/>
      <c r="N119" s="20"/>
      <c r="O119" s="23"/>
      <c r="P119" s="24"/>
    </row>
    <row r="120" spans="1:16" ht="15.75" customHeight="1" x14ac:dyDescent="0.25">
      <c r="A120">
        <v>14657</v>
      </c>
      <c r="B120" t="s">
        <v>134</v>
      </c>
      <c r="C120" t="s">
        <v>85</v>
      </c>
      <c r="D120" t="s">
        <v>318</v>
      </c>
      <c r="E120" t="s">
        <v>318</v>
      </c>
      <c r="F120" s="21" t="str">
        <f t="shared" si="3"/>
        <v>Voir sur Maps</v>
      </c>
      <c r="G120" s="22">
        <f>+VLOOKUP(TEXT(Tableau1[[#This Row],[Code INSEE]],"00000"),'[1]03_Déploiement_Prévu'!$A$3:$T$40,20,FALSE)</f>
        <v>4</v>
      </c>
      <c r="H120" s="22" t="str">
        <f>+IF(ISBLANK(VLOOKUP(Tableau1[[#This Row],[Code INSEE]],SYNTHESE_TRAVAUX!$A$2:$J$39,10,FALSE())),"")</f>
        <v/>
      </c>
      <c r="I120" s="20"/>
      <c r="J120" s="20"/>
      <c r="K120" s="20"/>
      <c r="L120" s="20"/>
      <c r="M120" s="20"/>
      <c r="N120" s="20"/>
      <c r="O120" s="23"/>
      <c r="P120" s="24"/>
    </row>
    <row r="121" spans="1:16" ht="15.75" customHeight="1" x14ac:dyDescent="0.25">
      <c r="A121">
        <v>14665</v>
      </c>
      <c r="B121" t="s">
        <v>90</v>
      </c>
      <c r="C121" t="s">
        <v>85</v>
      </c>
      <c r="D121" t="s">
        <v>317</v>
      </c>
      <c r="E121" t="s">
        <v>318</v>
      </c>
      <c r="F121" s="21" t="str">
        <f t="shared" si="3"/>
        <v>Voir sur Maps</v>
      </c>
      <c r="G121" s="22">
        <f>+VLOOKUP(TEXT(Tableau1[[#This Row],[Code INSEE]],"00000"),'[1]03_Déploiement_Prévu'!$A$3:$T$40,20,FALSE)</f>
        <v>1</v>
      </c>
      <c r="H121" s="22" t="str">
        <f>+IF(ISBLANK(VLOOKUP(Tableau1[[#This Row],[Code INSEE]],SYNTHESE_TRAVAUX!$A$2:$J$39,10,FALSE())),"")</f>
        <v/>
      </c>
      <c r="I121" s="20"/>
      <c r="J121" s="20"/>
      <c r="K121" s="20"/>
      <c r="L121" s="20"/>
      <c r="M121" s="20"/>
      <c r="N121" s="20"/>
      <c r="O121" s="23"/>
      <c r="P121" s="24"/>
    </row>
    <row r="122" spans="1:16" ht="15.75" customHeight="1" x14ac:dyDescent="0.25">
      <c r="A122">
        <v>14665</v>
      </c>
      <c r="B122" t="s">
        <v>90</v>
      </c>
      <c r="C122" t="s">
        <v>85</v>
      </c>
      <c r="D122" t="s">
        <v>230</v>
      </c>
      <c r="E122" t="s">
        <v>231</v>
      </c>
      <c r="F122" s="21" t="str">
        <f t="shared" si="3"/>
        <v>Voir sur Maps</v>
      </c>
      <c r="G122" s="22">
        <f>+VLOOKUP(TEXT(Tableau1[[#This Row],[Code INSEE]],"00000"),'[1]03_Déploiement_Prévu'!$A$3:$T$40,20,FALSE)</f>
        <v>1</v>
      </c>
      <c r="H122" s="22" t="str">
        <f>+IF(ISBLANK(VLOOKUP(Tableau1[[#This Row],[Code INSEE]],SYNTHESE_TRAVAUX!$A$2:$J$39,10,FALSE())),"")</f>
        <v/>
      </c>
      <c r="I122" s="20"/>
      <c r="J122" s="20"/>
      <c r="K122" s="20"/>
      <c r="L122" s="20"/>
      <c r="M122" s="20"/>
      <c r="N122" s="20"/>
      <c r="O122" s="23"/>
      <c r="P122" s="24"/>
    </row>
    <row r="123" spans="1:16" ht="15.75" customHeight="1" x14ac:dyDescent="0.25">
      <c r="A123">
        <v>14665</v>
      </c>
      <c r="B123" t="s">
        <v>90</v>
      </c>
      <c r="C123" t="s">
        <v>85</v>
      </c>
      <c r="D123" t="s">
        <v>379</v>
      </c>
      <c r="E123" t="s">
        <v>380</v>
      </c>
      <c r="F123" s="21" t="str">
        <f t="shared" si="3"/>
        <v>Voir sur Maps</v>
      </c>
      <c r="G123" s="22">
        <f>+VLOOKUP(TEXT(Tableau1[[#This Row],[Code INSEE]],"00000"),'[1]03_Déploiement_Prévu'!$A$3:$T$40,20,FALSE)</f>
        <v>1</v>
      </c>
      <c r="H123" s="22" t="str">
        <f>+IF(ISBLANK(VLOOKUP(Tableau1[[#This Row],[Code INSEE]],SYNTHESE_TRAVAUX!$A$2:$J$39,10,FALSE())),"")</f>
        <v/>
      </c>
      <c r="I123" s="20"/>
      <c r="J123" s="20"/>
      <c r="K123" s="20"/>
      <c r="L123" s="20"/>
      <c r="M123" s="20"/>
      <c r="N123" s="20"/>
      <c r="O123" s="23"/>
      <c r="P123" s="24"/>
    </row>
    <row r="124" spans="1:16" ht="15.75" customHeight="1" x14ac:dyDescent="0.25">
      <c r="A124">
        <v>14724</v>
      </c>
      <c r="B124" t="s">
        <v>117</v>
      </c>
      <c r="C124" t="s">
        <v>85</v>
      </c>
      <c r="D124" t="s">
        <v>381</v>
      </c>
      <c r="E124" t="s">
        <v>382</v>
      </c>
      <c r="F124" s="21" t="str">
        <f t="shared" si="3"/>
        <v>Voir sur Maps</v>
      </c>
      <c r="G124" s="22">
        <f>+VLOOKUP(TEXT(Tableau1[[#This Row],[Code INSEE]],"00000"),'[1]03_Déploiement_Prévu'!$A$3:$T$40,20,FALSE)</f>
        <v>4</v>
      </c>
      <c r="H124" s="22" t="str">
        <f>+IF(ISBLANK(VLOOKUP(Tableau1[[#This Row],[Code INSEE]],SYNTHESE_TRAVAUX!$A$2:$J$39,10,FALSE())),"")</f>
        <v/>
      </c>
      <c r="I124" s="20"/>
      <c r="J124" s="20"/>
      <c r="K124" s="20"/>
      <c r="L124" s="20"/>
      <c r="M124" s="20"/>
      <c r="N124" s="20"/>
      <c r="O124" s="23"/>
      <c r="P124" s="24"/>
    </row>
    <row r="125" spans="1:16" ht="15.75" customHeight="1" x14ac:dyDescent="0.25">
      <c r="A125">
        <v>14724</v>
      </c>
      <c r="B125" t="s">
        <v>117</v>
      </c>
      <c r="C125" t="s">
        <v>85</v>
      </c>
      <c r="D125" t="s">
        <v>377</v>
      </c>
      <c r="E125" t="s">
        <v>378</v>
      </c>
      <c r="F125" s="21" t="str">
        <f t="shared" si="3"/>
        <v>Voir sur Maps</v>
      </c>
      <c r="G125" s="22">
        <f>+VLOOKUP(TEXT(Tableau1[[#This Row],[Code INSEE]],"00000"),'[1]03_Déploiement_Prévu'!$A$3:$T$40,20,FALSE)</f>
        <v>4</v>
      </c>
      <c r="H125" s="22" t="str">
        <f>+IF(ISBLANK(VLOOKUP(Tableau1[[#This Row],[Code INSEE]],SYNTHESE_TRAVAUX!$A$2:$J$39,10,FALSE())),"")</f>
        <v/>
      </c>
      <c r="I125" s="20"/>
      <c r="J125" s="20"/>
      <c r="K125" s="20"/>
      <c r="L125" s="20"/>
      <c r="M125" s="20"/>
      <c r="N125" s="20"/>
      <c r="O125" s="23"/>
      <c r="P125" s="24"/>
    </row>
    <row r="126" spans="1:16" x14ac:dyDescent="0.25">
      <c r="A126">
        <v>14724</v>
      </c>
      <c r="B126" t="s">
        <v>117</v>
      </c>
      <c r="C126" t="s">
        <v>85</v>
      </c>
      <c r="D126" t="s">
        <v>383</v>
      </c>
      <c r="E126" t="s">
        <v>384</v>
      </c>
      <c r="F126" s="21" t="str">
        <f t="shared" si="3"/>
        <v>Voir sur Maps</v>
      </c>
      <c r="G126" s="22">
        <f>+VLOOKUP(TEXT(Tableau1[[#This Row],[Code INSEE]],"00000"),'[1]03_Déploiement_Prévu'!$A$3:$T$40,20,FALSE)</f>
        <v>4</v>
      </c>
    </row>
    <row r="127" spans="1:16" x14ac:dyDescent="0.25">
      <c r="A127">
        <v>14724</v>
      </c>
      <c r="B127" t="s">
        <v>117</v>
      </c>
      <c r="C127" t="s">
        <v>85</v>
      </c>
      <c r="D127" t="s">
        <v>385</v>
      </c>
      <c r="E127" t="s">
        <v>386</v>
      </c>
      <c r="F127" s="21" t="str">
        <f t="shared" si="3"/>
        <v>Voir sur Maps</v>
      </c>
      <c r="G127" s="22">
        <f>+VLOOKUP(TEXT(Tableau1[[#This Row],[Code INSEE]],"00000"),'[1]03_Déploiement_Prévu'!$A$3:$T$40,20,FALSE)</f>
        <v>4</v>
      </c>
    </row>
    <row r="128" spans="1:16" x14ac:dyDescent="0.25">
      <c r="A128">
        <v>14724</v>
      </c>
      <c r="B128" t="s">
        <v>117</v>
      </c>
      <c r="C128" t="s">
        <v>85</v>
      </c>
      <c r="D128" t="s">
        <v>236</v>
      </c>
      <c r="E128" t="s">
        <v>237</v>
      </c>
      <c r="F128" s="21" t="str">
        <f t="shared" si="3"/>
        <v>Voir sur Maps</v>
      </c>
      <c r="G128" s="22">
        <f>+VLOOKUP(TEXT(Tableau1[[#This Row],[Code INSEE]],"00000"),'[1]03_Déploiement_Prévu'!$A$3:$T$40,20,FALSE)</f>
        <v>4</v>
      </c>
    </row>
    <row r="129" spans="1:7" x14ac:dyDescent="0.25">
      <c r="A129">
        <v>14724</v>
      </c>
      <c r="B129" t="s">
        <v>117</v>
      </c>
      <c r="C129" t="s">
        <v>85</v>
      </c>
      <c r="D129" t="s">
        <v>252</v>
      </c>
      <c r="E129" t="s">
        <v>253</v>
      </c>
      <c r="F129" s="21" t="str">
        <f t="shared" si="3"/>
        <v>Voir sur Maps</v>
      </c>
      <c r="G129" s="22">
        <f>+VLOOKUP(TEXT(Tableau1[[#This Row],[Code INSEE]],"00000"),'[1]03_Déploiement_Prévu'!$A$3:$T$40,20,FALSE)</f>
        <v>4</v>
      </c>
    </row>
    <row r="130" spans="1:7" x14ac:dyDescent="0.25">
      <c r="A130">
        <v>14724</v>
      </c>
      <c r="B130" t="s">
        <v>117</v>
      </c>
      <c r="C130" t="s">
        <v>85</v>
      </c>
      <c r="D130" t="s">
        <v>387</v>
      </c>
      <c r="E130" t="s">
        <v>388</v>
      </c>
      <c r="F130" s="21" t="str">
        <f t="shared" si="3"/>
        <v>Voir sur Maps</v>
      </c>
      <c r="G130" s="22">
        <f>+VLOOKUP(TEXT(Tableau1[[#This Row],[Code INSEE]],"00000"),'[1]03_Déploiement_Prévu'!$A$3:$T$40,20,FALSE)</f>
        <v>4</v>
      </c>
    </row>
    <row r="131" spans="1:7" x14ac:dyDescent="0.25">
      <c r="A131">
        <v>14724</v>
      </c>
      <c r="B131" t="s">
        <v>117</v>
      </c>
      <c r="C131" t="s">
        <v>85</v>
      </c>
      <c r="D131" t="s">
        <v>240</v>
      </c>
      <c r="E131" t="s">
        <v>241</v>
      </c>
      <c r="F131" s="21" t="str">
        <f t="shared" si="3"/>
        <v>Voir sur Maps</v>
      </c>
      <c r="G131" s="22">
        <f>+VLOOKUP(TEXT(Tableau1[[#This Row],[Code INSEE]],"00000"),'[1]03_Déploiement_Prévu'!$A$3:$T$40,20,FALSE)</f>
        <v>4</v>
      </c>
    </row>
    <row r="132" spans="1:7" x14ac:dyDescent="0.25">
      <c r="A132">
        <v>14743</v>
      </c>
      <c r="B132" t="s">
        <v>136</v>
      </c>
      <c r="C132" t="s">
        <v>85</v>
      </c>
      <c r="D132" t="s">
        <v>318</v>
      </c>
      <c r="E132" t="s">
        <v>318</v>
      </c>
      <c r="F132" s="21" t="str">
        <f t="shared" si="3"/>
        <v>Voir sur Maps</v>
      </c>
      <c r="G132" s="22">
        <f>+VLOOKUP(TEXT(Tableau1[[#This Row],[Code INSEE]],"00000"),'[1]03_Déploiement_Prévu'!$A$3:$T$40,20,FALSE)</f>
        <v>1</v>
      </c>
    </row>
    <row r="133" spans="1:7" x14ac:dyDescent="0.25">
      <c r="A133">
        <v>14743</v>
      </c>
      <c r="B133" t="s">
        <v>136</v>
      </c>
      <c r="C133" t="s">
        <v>85</v>
      </c>
      <c r="D133" t="s">
        <v>389</v>
      </c>
      <c r="E133" t="s">
        <v>390</v>
      </c>
      <c r="F133" s="21" t="str">
        <f t="shared" si="3"/>
        <v>Voir sur Maps</v>
      </c>
      <c r="G133" s="22">
        <f>+VLOOKUP(TEXT(Tableau1[[#This Row],[Code INSEE]],"00000"),'[1]03_Déploiement_Prévu'!$A$3:$T$40,20,FALSE)</f>
        <v>1</v>
      </c>
    </row>
    <row r="134" spans="1:7" x14ac:dyDescent="0.25">
      <c r="A134">
        <v>14743</v>
      </c>
      <c r="B134" t="s">
        <v>136</v>
      </c>
      <c r="C134" t="s">
        <v>85</v>
      </c>
      <c r="D134" t="s">
        <v>224</v>
      </c>
      <c r="E134" t="s">
        <v>225</v>
      </c>
      <c r="F134" s="21" t="str">
        <f t="shared" si="3"/>
        <v>Voir sur Maps</v>
      </c>
      <c r="G134" s="22">
        <f>+VLOOKUP(TEXT(Tableau1[[#This Row],[Code INSEE]],"00000"),'[1]03_Déploiement_Prévu'!$A$3:$T$40,20,FALSE)</f>
        <v>1</v>
      </c>
    </row>
    <row r="135" spans="1:7" x14ac:dyDescent="0.25">
      <c r="A135">
        <v>14743</v>
      </c>
      <c r="B135" t="s">
        <v>136</v>
      </c>
      <c r="C135" t="s">
        <v>85</v>
      </c>
      <c r="D135" t="s">
        <v>226</v>
      </c>
      <c r="E135" t="s">
        <v>227</v>
      </c>
      <c r="F135" s="21" t="str">
        <f t="shared" si="3"/>
        <v>Voir sur Maps</v>
      </c>
      <c r="G135" s="22">
        <f>+VLOOKUP(TEXT(Tableau1[[#This Row],[Code INSEE]],"00000"),'[1]03_Déploiement_Prévu'!$A$3:$T$40,20,FALSE)</f>
        <v>1</v>
      </c>
    </row>
    <row r="136" spans="1:7" x14ac:dyDescent="0.25">
      <c r="A136">
        <v>14743</v>
      </c>
      <c r="B136" t="s">
        <v>136</v>
      </c>
      <c r="C136" t="s">
        <v>85</v>
      </c>
      <c r="D136" t="s">
        <v>228</v>
      </c>
      <c r="E136" t="s">
        <v>229</v>
      </c>
      <c r="F136" s="21" t="str">
        <f t="shared" si="3"/>
        <v>Voir sur Maps</v>
      </c>
      <c r="G136" s="22">
        <f>+VLOOKUP(TEXT(Tableau1[[#This Row],[Code INSEE]],"00000"),'[1]03_Déploiement_Prévu'!$A$3:$T$40,20,FALSE)</f>
        <v>1</v>
      </c>
    </row>
    <row r="137" spans="1:7" x14ac:dyDescent="0.25">
      <c r="A137">
        <v>14743</v>
      </c>
      <c r="B137" t="s">
        <v>136</v>
      </c>
      <c r="C137" t="s">
        <v>85</v>
      </c>
      <c r="D137" t="s">
        <v>318</v>
      </c>
      <c r="E137" t="s">
        <v>318</v>
      </c>
      <c r="F137" s="21" t="str">
        <f t="shared" si="3"/>
        <v>Voir sur Maps</v>
      </c>
      <c r="G137" s="22">
        <f>+VLOOKUP(TEXT(Tableau1[[#This Row],[Code INSEE]],"00000"),'[1]03_Déploiement_Prévu'!$A$3:$T$40,20,FALSE)</f>
        <v>1</v>
      </c>
    </row>
    <row r="138" spans="1:7" x14ac:dyDescent="0.25">
      <c r="A138">
        <v>14743</v>
      </c>
      <c r="B138" t="s">
        <v>136</v>
      </c>
      <c r="C138" t="s">
        <v>85</v>
      </c>
      <c r="D138" t="s">
        <v>318</v>
      </c>
      <c r="E138" t="s">
        <v>318</v>
      </c>
      <c r="F138" s="21" t="str">
        <f t="shared" si="3"/>
        <v>Voir sur Maps</v>
      </c>
      <c r="G138" s="22">
        <f>+VLOOKUP(TEXT(Tableau1[[#This Row],[Code INSEE]],"00000"),'[1]03_Déploiement_Prévu'!$A$3:$T$40,20,FALSE)</f>
        <v>1</v>
      </c>
    </row>
  </sheetData>
  <dataValidations count="5">
    <dataValidation type="list" allowBlank="1" sqref="I3:I138" xr:uid="{00000000-0002-0000-0200-000000000000}">
      <formula1>"À valider,Validé"</formula1>
      <formula2>0</formula2>
    </dataValidation>
    <dataValidation type="list" allowBlank="1" sqref="J3:J138" xr:uid="{00000000-0002-0000-0200-000001000000}">
      <formula1>"Non déposée,Déposée,Récépissés reçus,Réseau détecté,Calé"</formula1>
      <formula2>0</formula2>
    </dataValidation>
    <dataValidation type="list" allowBlank="1" sqref="K3:K138" xr:uid="{00000000-0002-0000-0200-000002000000}">
      <formula1>"En attente,RAS,Réseau dans l'emprise"</formula1>
      <formula2>0</formula2>
    </dataValidation>
    <dataValidation type="list" allowBlank="1" sqref="L3:L138" xr:uid="{00000000-0002-0000-0200-000003000000}">
      <formula1>"Non,Demandé,Obtenu"</formula1>
      <formula2>0</formula2>
    </dataValidation>
    <dataValidation type="list" allowBlank="1" sqref="M3:M138" xr:uid="{00000000-0002-0000-0200-000004000000}">
      <formula1>"Non fait,En cours,Fait"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8C26-4A7D-4983-8B6B-162CC1D68FDB}">
  <sheetPr>
    <pageSetUpPr fitToPage="1"/>
  </sheetPr>
  <dimension ref="A1:Z49"/>
  <sheetViews>
    <sheetView showGridLines="0" zoomScaleNormal="100" workbookViewId="0">
      <pane xSplit="2" ySplit="6" topLeftCell="C19" activePane="bottomRight" state="frozen"/>
      <selection pane="topRight" activeCell="C1" sqref="C1"/>
      <selection pane="bottomLeft" activeCell="A8" sqref="A8"/>
      <selection pane="bottomRight" sqref="A1:Z1"/>
    </sheetView>
  </sheetViews>
  <sheetFormatPr baseColWidth="10" defaultColWidth="9.140625" defaultRowHeight="15" x14ac:dyDescent="0.25"/>
  <cols>
    <col min="1" max="1" width="17" style="31" customWidth="1"/>
    <col min="2" max="2" width="56.5703125" style="31" customWidth="1"/>
    <col min="3" max="26" width="5.7109375" style="31" customWidth="1"/>
    <col min="27" max="16384" width="9.140625" style="31"/>
  </cols>
  <sheetData>
    <row r="1" spans="1:26" ht="26.1" customHeight="1" x14ac:dyDescent="0.25">
      <c r="A1" s="135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x14ac:dyDescent="0.25">
      <c r="A2" s="136" t="s">
        <v>1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 spans="1:26" ht="14.1" customHeight="1" x14ac:dyDescent="0.25">
      <c r="A3" s="137" t="s">
        <v>2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</row>
    <row r="5" spans="1:26" ht="18" customHeight="1" thickBot="1" x14ac:dyDescent="0.3">
      <c r="A5" s="138" t="s">
        <v>3</v>
      </c>
      <c r="B5" s="138" t="s">
        <v>4</v>
      </c>
      <c r="C5" s="139" t="s">
        <v>5</v>
      </c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40" t="s">
        <v>6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</row>
    <row r="6" spans="1:26" ht="15.95" customHeight="1" x14ac:dyDescent="0.25">
      <c r="A6" s="129"/>
      <c r="B6" s="129"/>
      <c r="C6" s="46" t="s">
        <v>7</v>
      </c>
      <c r="D6" s="47" t="s">
        <v>8</v>
      </c>
      <c r="E6" s="47" t="s">
        <v>9</v>
      </c>
      <c r="F6" s="47" t="s">
        <v>10</v>
      </c>
      <c r="G6" s="47" t="s">
        <v>11</v>
      </c>
      <c r="H6" s="48" t="s">
        <v>12</v>
      </c>
      <c r="I6" s="46" t="s">
        <v>13</v>
      </c>
      <c r="J6" s="47" t="s">
        <v>14</v>
      </c>
      <c r="K6" s="47" t="s">
        <v>15</v>
      </c>
      <c r="L6" s="47" t="s">
        <v>16</v>
      </c>
      <c r="M6" s="47" t="s">
        <v>17</v>
      </c>
      <c r="N6" s="48" t="s">
        <v>18</v>
      </c>
      <c r="O6" s="46" t="s">
        <v>7</v>
      </c>
      <c r="P6" s="47" t="s">
        <v>8</v>
      </c>
      <c r="Q6" s="47" t="s">
        <v>9</v>
      </c>
      <c r="R6" s="47" t="s">
        <v>10</v>
      </c>
      <c r="S6" s="47" t="s">
        <v>11</v>
      </c>
      <c r="T6" s="48" t="s">
        <v>12</v>
      </c>
      <c r="U6" s="46" t="s">
        <v>13</v>
      </c>
      <c r="V6" s="47" t="s">
        <v>14</v>
      </c>
      <c r="W6" s="47" t="s">
        <v>15</v>
      </c>
      <c r="X6" s="47" t="s">
        <v>16</v>
      </c>
      <c r="Y6" s="47" t="s">
        <v>17</v>
      </c>
      <c r="Z6" s="48" t="s">
        <v>18</v>
      </c>
    </row>
    <row r="7" spans="1:26" ht="30" customHeight="1" x14ac:dyDescent="0.25">
      <c r="A7" s="141" t="s">
        <v>19</v>
      </c>
      <c r="B7" s="32" t="s">
        <v>20</v>
      </c>
      <c r="C7" s="49"/>
      <c r="D7" s="49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30" customHeight="1" x14ac:dyDescent="0.25">
      <c r="A8" s="134"/>
      <c r="B8" s="32" t="s">
        <v>21</v>
      </c>
      <c r="C8" s="50"/>
      <c r="D8" s="50"/>
      <c r="E8" s="49"/>
      <c r="F8" s="49"/>
      <c r="G8" s="49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30" customHeight="1" x14ac:dyDescent="0.25">
      <c r="A9" s="134"/>
      <c r="B9" s="32" t="s">
        <v>22</v>
      </c>
      <c r="C9" s="50"/>
      <c r="D9" s="50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30" customHeight="1" x14ac:dyDescent="0.25">
      <c r="A10" s="134"/>
      <c r="B10" s="33" t="s">
        <v>23</v>
      </c>
      <c r="C10" s="50"/>
      <c r="D10" s="50"/>
      <c r="E10" s="50"/>
      <c r="F10" s="50"/>
      <c r="G10" s="50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30" customHeight="1" x14ac:dyDescent="0.25">
      <c r="A11" s="142" t="s">
        <v>24</v>
      </c>
      <c r="B11" s="32" t="s">
        <v>25</v>
      </c>
      <c r="C11" s="50"/>
      <c r="D11" s="50"/>
      <c r="E11" s="52"/>
      <c r="F11" s="52"/>
      <c r="G11" s="52"/>
      <c r="H11" s="52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30" customHeight="1" x14ac:dyDescent="0.25">
      <c r="A12" s="134"/>
      <c r="B12" s="32" t="s">
        <v>26</v>
      </c>
      <c r="C12" s="50"/>
      <c r="D12" s="50"/>
      <c r="E12" s="50"/>
      <c r="F12" s="50"/>
      <c r="G12" s="50"/>
      <c r="H12" s="52"/>
      <c r="I12" s="52"/>
      <c r="J12" s="52"/>
      <c r="K12" s="52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30" customHeight="1" x14ac:dyDescent="0.25">
      <c r="A13" s="134"/>
      <c r="B13" s="32" t="s">
        <v>27</v>
      </c>
      <c r="C13" s="50"/>
      <c r="D13" s="50"/>
      <c r="E13" s="50"/>
      <c r="F13" s="50"/>
      <c r="G13" s="50"/>
      <c r="H13" s="50"/>
      <c r="I13" s="50"/>
      <c r="J13" s="50"/>
      <c r="K13" s="52"/>
      <c r="L13" s="52"/>
      <c r="M13" s="52"/>
      <c r="N13" s="52"/>
      <c r="O13" s="52"/>
      <c r="P13" s="52"/>
      <c r="Q13" s="52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30" customHeight="1" x14ac:dyDescent="0.25">
      <c r="A14" s="143" t="s">
        <v>28</v>
      </c>
      <c r="B14" s="32" t="s">
        <v>29</v>
      </c>
      <c r="C14" s="50"/>
      <c r="D14" s="50"/>
      <c r="E14" s="50"/>
      <c r="F14" s="50"/>
      <c r="G14" s="50"/>
      <c r="H14" s="53"/>
      <c r="I14" s="53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30" customHeight="1" x14ac:dyDescent="0.25">
      <c r="A15" s="134"/>
      <c r="B15" s="32" t="s">
        <v>30</v>
      </c>
      <c r="C15" s="50"/>
      <c r="D15" s="50"/>
      <c r="E15" s="50"/>
      <c r="F15" s="50"/>
      <c r="G15" s="50"/>
      <c r="H15" s="50"/>
      <c r="I15" s="50"/>
      <c r="J15" s="53"/>
      <c r="K15" s="53"/>
      <c r="L15" s="53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30" customHeight="1" x14ac:dyDescent="0.25">
      <c r="A16" s="134"/>
      <c r="B16" s="32" t="s">
        <v>31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3"/>
      <c r="N16" s="53"/>
      <c r="O16" s="53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30" customHeight="1" x14ac:dyDescent="0.25">
      <c r="A17" s="134"/>
      <c r="B17" s="32" t="s">
        <v>32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3"/>
      <c r="Q17" s="53"/>
      <c r="R17" s="53"/>
      <c r="S17" s="53"/>
      <c r="T17" s="53"/>
      <c r="U17" s="53"/>
      <c r="V17" s="50"/>
      <c r="W17" s="50"/>
      <c r="X17" s="50"/>
      <c r="Y17" s="50"/>
      <c r="Z17" s="50"/>
    </row>
    <row r="18" spans="1:26" ht="30" customHeight="1" x14ac:dyDescent="0.25">
      <c r="A18" s="134"/>
      <c r="B18" s="32" t="s">
        <v>33</v>
      </c>
      <c r="C18" s="50"/>
      <c r="D18" s="50"/>
      <c r="E18" s="50"/>
      <c r="F18" s="50"/>
      <c r="G18" s="50"/>
      <c r="H18" s="50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0"/>
      <c r="V18" s="50"/>
      <c r="W18" s="50"/>
      <c r="X18" s="50"/>
      <c r="Y18" s="50"/>
      <c r="Z18" s="50"/>
    </row>
    <row r="19" spans="1:26" ht="30" customHeight="1" x14ac:dyDescent="0.25">
      <c r="A19" s="144" t="s">
        <v>34</v>
      </c>
      <c r="B19" s="32" t="s">
        <v>35</v>
      </c>
      <c r="C19" s="50"/>
      <c r="D19" s="50"/>
      <c r="E19" s="50"/>
      <c r="F19" s="50"/>
      <c r="G19" s="50"/>
      <c r="H19" s="50"/>
      <c r="I19" s="55"/>
      <c r="J19" s="55"/>
      <c r="K19" s="55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30" customHeight="1" x14ac:dyDescent="0.25">
      <c r="A20" s="134"/>
      <c r="B20" s="32" t="s">
        <v>36</v>
      </c>
      <c r="C20" s="50"/>
      <c r="D20" s="50"/>
      <c r="E20" s="50"/>
      <c r="F20" s="50"/>
      <c r="G20" s="50"/>
      <c r="H20" s="50"/>
      <c r="I20" s="50"/>
      <c r="J20" s="50"/>
      <c r="K20" s="50"/>
      <c r="L20" s="55"/>
      <c r="M20" s="55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30" customHeight="1" x14ac:dyDescent="0.25">
      <c r="A21" s="134"/>
      <c r="B21" s="32" t="s">
        <v>37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5"/>
      <c r="O21" s="55"/>
      <c r="P21" s="55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30" customHeight="1" x14ac:dyDescent="0.25">
      <c r="A22" s="134"/>
      <c r="B22" s="32" t="s">
        <v>38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5"/>
      <c r="R22" s="55"/>
      <c r="S22" s="55"/>
      <c r="T22" s="55"/>
      <c r="U22" s="55"/>
      <c r="V22" s="55"/>
      <c r="W22" s="50"/>
      <c r="X22" s="50"/>
      <c r="Y22" s="50"/>
      <c r="Z22" s="50"/>
    </row>
    <row r="23" spans="1:26" ht="30" customHeight="1" x14ac:dyDescent="0.25">
      <c r="A23" s="134"/>
      <c r="B23" s="32" t="s">
        <v>39</v>
      </c>
      <c r="C23" s="50"/>
      <c r="D23" s="50"/>
      <c r="E23" s="50"/>
      <c r="F23" s="50"/>
      <c r="G23" s="50"/>
      <c r="H23" s="50"/>
      <c r="I23" s="50"/>
      <c r="J23" s="50"/>
      <c r="K23" s="50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0"/>
      <c r="W23" s="50"/>
      <c r="X23" s="50"/>
      <c r="Y23" s="50"/>
      <c r="Z23" s="50"/>
    </row>
    <row r="24" spans="1:26" ht="30" customHeight="1" x14ac:dyDescent="0.25">
      <c r="A24" s="145" t="s">
        <v>40</v>
      </c>
      <c r="B24" s="32" t="s">
        <v>41</v>
      </c>
      <c r="C24" s="50"/>
      <c r="D24" s="50"/>
      <c r="E24" s="50"/>
      <c r="F24" s="50"/>
      <c r="G24" s="50"/>
      <c r="H24" s="50"/>
      <c r="I24" s="57"/>
      <c r="J24" s="57"/>
      <c r="K24" s="57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30" customHeight="1" x14ac:dyDescent="0.25">
      <c r="A25" s="134"/>
      <c r="B25" s="32" t="s">
        <v>42</v>
      </c>
      <c r="C25" s="50"/>
      <c r="D25" s="50"/>
      <c r="E25" s="50"/>
      <c r="F25" s="50"/>
      <c r="G25" s="50"/>
      <c r="H25" s="57"/>
      <c r="I25" s="57"/>
      <c r="J25" s="57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30" customHeight="1" x14ac:dyDescent="0.25">
      <c r="A26" s="134"/>
      <c r="B26" s="32" t="s">
        <v>43</v>
      </c>
      <c r="C26" s="50"/>
      <c r="D26" s="50"/>
      <c r="E26" s="50"/>
      <c r="F26" s="50"/>
      <c r="G26" s="50"/>
      <c r="H26" s="50"/>
      <c r="I26" s="50"/>
      <c r="J26" s="50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0"/>
      <c r="Z26" s="50"/>
    </row>
    <row r="27" spans="1:26" ht="30" customHeight="1" x14ac:dyDescent="0.25">
      <c r="A27" s="133" t="s">
        <v>44</v>
      </c>
      <c r="B27" s="32" t="s">
        <v>45</v>
      </c>
      <c r="C27" s="50"/>
      <c r="D27" s="50"/>
      <c r="E27" s="50"/>
      <c r="F27" s="50"/>
      <c r="G27" s="50"/>
      <c r="H27" s="50"/>
      <c r="I27" s="50"/>
      <c r="J27" s="50"/>
      <c r="K27" s="50"/>
      <c r="L27" s="59"/>
      <c r="M27" s="59"/>
      <c r="N27" s="59"/>
      <c r="O27" s="5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30" customHeight="1" x14ac:dyDescent="0.25">
      <c r="A28" s="134"/>
      <c r="B28" s="32" t="s">
        <v>46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9"/>
      <c r="P28" s="59"/>
      <c r="Q28" s="59"/>
      <c r="R28" s="59"/>
      <c r="S28" s="59"/>
      <c r="T28" s="50"/>
      <c r="U28" s="50"/>
      <c r="V28" s="50"/>
      <c r="W28" s="50"/>
      <c r="X28" s="50"/>
      <c r="Y28" s="50"/>
      <c r="Z28" s="50"/>
    </row>
    <row r="29" spans="1:26" ht="30" customHeight="1" x14ac:dyDescent="0.25">
      <c r="A29" s="134"/>
      <c r="B29" s="32" t="s">
        <v>47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9"/>
      <c r="T29" s="59"/>
      <c r="U29" s="59"/>
      <c r="V29" s="59"/>
      <c r="W29" s="59"/>
      <c r="X29" s="59"/>
      <c r="Y29" s="59"/>
      <c r="Z29" s="50"/>
    </row>
    <row r="30" spans="1:26" ht="30" customHeight="1" x14ac:dyDescent="0.25">
      <c r="A30" s="134"/>
      <c r="B30" s="32" t="s">
        <v>48</v>
      </c>
      <c r="C30" s="50"/>
      <c r="D30" s="50"/>
      <c r="E30" s="50"/>
      <c r="F30" s="50"/>
      <c r="G30" s="50"/>
      <c r="H30" s="50"/>
      <c r="I30" s="50"/>
      <c r="J30" s="50"/>
      <c r="K30" s="5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50"/>
    </row>
    <row r="31" spans="1:26" ht="30" customHeight="1" x14ac:dyDescent="0.25">
      <c r="A31" s="34" t="s">
        <v>49</v>
      </c>
      <c r="B31" s="32" t="s">
        <v>50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3" spans="2:26" x14ac:dyDescent="0.25">
      <c r="D33" s="35" t="s">
        <v>51</v>
      </c>
    </row>
    <row r="34" spans="2:26" x14ac:dyDescent="0.25">
      <c r="B34" s="36"/>
    </row>
    <row r="35" spans="2:26" ht="15" customHeight="1" x14ac:dyDescent="0.25">
      <c r="D35" s="37"/>
      <c r="E35" s="130" t="s">
        <v>19</v>
      </c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</row>
    <row r="36" spans="2:26" ht="15" customHeight="1" x14ac:dyDescent="0.25">
      <c r="D36" s="38"/>
      <c r="E36" s="130" t="s">
        <v>24</v>
      </c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</row>
    <row r="37" spans="2:26" ht="15" customHeight="1" x14ac:dyDescent="0.25">
      <c r="D37" s="39"/>
      <c r="E37" s="130" t="s">
        <v>28</v>
      </c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</row>
    <row r="38" spans="2:26" ht="15" customHeight="1" x14ac:dyDescent="0.25">
      <c r="D38" s="40"/>
      <c r="E38" s="130" t="s">
        <v>34</v>
      </c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</row>
    <row r="39" spans="2:26" ht="15" customHeight="1" x14ac:dyDescent="0.25">
      <c r="D39" s="41"/>
      <c r="E39" s="130" t="s">
        <v>52</v>
      </c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</row>
    <row r="40" spans="2:26" ht="15" customHeight="1" x14ac:dyDescent="0.25">
      <c r="D40" s="42"/>
      <c r="E40" s="130" t="s">
        <v>44</v>
      </c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</row>
    <row r="41" spans="2:26" ht="15" customHeight="1" x14ac:dyDescent="0.25">
      <c r="D41" s="43"/>
      <c r="E41" s="130" t="s">
        <v>49</v>
      </c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</row>
    <row r="43" spans="2:26" ht="15" customHeight="1" x14ac:dyDescent="0.25">
      <c r="E43" s="130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</row>
    <row r="44" spans="2:26" ht="15" customHeight="1" x14ac:dyDescent="0.25">
      <c r="E44" s="130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</row>
    <row r="46" spans="2:26" ht="15" customHeight="1" x14ac:dyDescent="0.25">
      <c r="E46" s="131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</row>
    <row r="47" spans="2:26" x14ac:dyDescent="0.25">
      <c r="B47" s="132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9" spans="2:26" x14ac:dyDescent="0.25">
      <c r="B49" s="128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</sheetData>
  <mergeCells count="25">
    <mergeCell ref="A27:A30"/>
    <mergeCell ref="A1:Z1"/>
    <mergeCell ref="A2:Z2"/>
    <mergeCell ref="A3:Z3"/>
    <mergeCell ref="A5:A6"/>
    <mergeCell ref="B5:B6"/>
    <mergeCell ref="C5:N5"/>
    <mergeCell ref="O5:Z5"/>
    <mergeCell ref="A7:A10"/>
    <mergeCell ref="A11:A13"/>
    <mergeCell ref="A14:A18"/>
    <mergeCell ref="A19:A23"/>
    <mergeCell ref="A24:A26"/>
    <mergeCell ref="B49:Z49"/>
    <mergeCell ref="E35:P35"/>
    <mergeCell ref="E36:P36"/>
    <mergeCell ref="E37:P37"/>
    <mergeCell ref="E38:P38"/>
    <mergeCell ref="E39:P39"/>
    <mergeCell ref="E40:P40"/>
    <mergeCell ref="E41:P41"/>
    <mergeCell ref="E43:P43"/>
    <mergeCell ref="E44:P44"/>
    <mergeCell ref="E46:P46"/>
    <mergeCell ref="B47:Z47"/>
  </mergeCells>
  <pageMargins left="0.3" right="0.3" top="0.4" bottom="0.4" header="0.5" footer="0.5"/>
  <pageSetup scale="62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1"/>
  <sheetViews>
    <sheetView showGridLines="0" zoomScaleNormal="100" workbookViewId="0">
      <selection activeCell="G13" sqref="G13"/>
    </sheetView>
  </sheetViews>
  <sheetFormatPr baseColWidth="10" defaultColWidth="8.5703125" defaultRowHeight="15" x14ac:dyDescent="0.25"/>
  <cols>
    <col min="1" max="1" width="5" customWidth="1"/>
    <col min="2" max="3" width="28.85546875" customWidth="1"/>
    <col min="4" max="4" width="18" customWidth="1"/>
    <col min="5" max="8" width="13" customWidth="1"/>
    <col min="9" max="9" width="16" customWidth="1"/>
    <col min="10" max="10" width="13" customWidth="1"/>
    <col min="11" max="11" width="16" customWidth="1"/>
    <col min="13" max="24" width="7" customWidth="1"/>
  </cols>
  <sheetData>
    <row r="1" spans="1:18" ht="18.75" customHeight="1" x14ac:dyDescent="0.25">
      <c r="A1" s="148" t="s">
        <v>53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8" ht="15" customHeight="1" x14ac:dyDescent="0.25">
      <c r="A2" s="150" t="s">
        <v>54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3" spans="1:18" ht="15" customHeight="1" x14ac:dyDescent="0.25">
      <c r="A3" s="151" t="s">
        <v>55</v>
      </c>
      <c r="B3" s="127"/>
      <c r="C3" s="127"/>
    </row>
    <row r="4" spans="1:18" ht="15" customHeight="1" x14ac:dyDescent="0.25">
      <c r="A4" s="147" t="s">
        <v>56</v>
      </c>
      <c r="B4" s="127"/>
      <c r="C4" s="25">
        <v>46305</v>
      </c>
      <c r="D4" s="30" t="s">
        <v>57</v>
      </c>
    </row>
    <row r="5" spans="1:18" ht="15" customHeight="1" x14ac:dyDescent="0.25">
      <c r="A5" s="147" t="s">
        <v>58</v>
      </c>
      <c r="B5" s="127"/>
      <c r="C5" s="2">
        <v>5</v>
      </c>
      <c r="D5" s="1" t="s">
        <v>59</v>
      </c>
    </row>
    <row r="6" spans="1:18" ht="15" customHeight="1" x14ac:dyDescent="0.25">
      <c r="A6" s="149" t="s">
        <v>60</v>
      </c>
      <c r="B6" s="127"/>
      <c r="C6" s="3">
        <f>15/MAX(C5,1)</f>
        <v>3</v>
      </c>
    </row>
    <row r="7" spans="1:18" ht="15" customHeight="1" x14ac:dyDescent="0.25">
      <c r="A7" s="152" t="s">
        <v>61</v>
      </c>
      <c r="B7" s="127"/>
      <c r="C7" s="127"/>
    </row>
    <row r="8" spans="1:18" ht="15" customHeight="1" x14ac:dyDescent="0.25">
      <c r="A8" s="147" t="s">
        <v>62</v>
      </c>
      <c r="B8" s="127"/>
      <c r="C8" s="2">
        <v>30</v>
      </c>
      <c r="D8" s="1" t="s">
        <v>63</v>
      </c>
    </row>
    <row r="9" spans="1:18" ht="15" customHeight="1" x14ac:dyDescent="0.25">
      <c r="A9" s="147" t="s">
        <v>64</v>
      </c>
      <c r="B9" s="127"/>
      <c r="C9" s="2">
        <v>5</v>
      </c>
    </row>
    <row r="10" spans="1:18" ht="15" customHeight="1" x14ac:dyDescent="0.25">
      <c r="A10" s="147" t="s">
        <v>65</v>
      </c>
      <c r="B10" s="127"/>
      <c r="C10" s="2">
        <v>15</v>
      </c>
      <c r="D10" s="1" t="s">
        <v>66</v>
      </c>
    </row>
    <row r="11" spans="1:18" ht="15" customHeight="1" x14ac:dyDescent="0.25">
      <c r="A11" s="147" t="s">
        <v>67</v>
      </c>
      <c r="B11" s="127"/>
      <c r="C11" s="2">
        <v>5</v>
      </c>
    </row>
    <row r="12" spans="1:18" ht="15" customHeight="1" x14ac:dyDescent="0.25">
      <c r="A12" s="147" t="s">
        <v>68</v>
      </c>
      <c r="B12" s="127"/>
      <c r="C12" s="2">
        <v>7</v>
      </c>
      <c r="D12" s="1" t="s">
        <v>69</v>
      </c>
    </row>
    <row r="13" spans="1:18" ht="15" customHeight="1" x14ac:dyDescent="0.25">
      <c r="A13" s="147" t="s">
        <v>70</v>
      </c>
      <c r="B13" s="127"/>
      <c r="C13" s="4">
        <f>C8+C9+C10+C11</f>
        <v>55</v>
      </c>
    </row>
    <row r="14" spans="1:18" ht="15" customHeight="1" x14ac:dyDescent="0.25">
      <c r="A14" s="147" t="s">
        <v>71</v>
      </c>
      <c r="B14" s="127"/>
      <c r="C14" s="27">
        <f ca="1">TODAY()</f>
        <v>46307</v>
      </c>
    </row>
    <row r="15" spans="1:18" ht="15" customHeight="1" x14ac:dyDescent="0.25">
      <c r="M15" s="146" t="s">
        <v>72</v>
      </c>
      <c r="N15" s="127"/>
      <c r="O15" s="127"/>
      <c r="P15" s="127"/>
      <c r="Q15" s="127"/>
      <c r="R15" s="127"/>
    </row>
    <row r="17" spans="1:24" ht="42" customHeight="1" x14ac:dyDescent="0.25">
      <c r="A17" s="5" t="s">
        <v>73</v>
      </c>
      <c r="B17" s="5" t="s">
        <v>74</v>
      </c>
      <c r="C17" s="5" t="s">
        <v>75</v>
      </c>
      <c r="D17" s="5" t="s">
        <v>76</v>
      </c>
      <c r="E17" s="5" t="s">
        <v>77</v>
      </c>
      <c r="F17" s="5" t="s">
        <v>78</v>
      </c>
      <c r="G17" s="5" t="s">
        <v>79</v>
      </c>
      <c r="H17" s="5" t="s">
        <v>80</v>
      </c>
      <c r="I17" s="5" t="s">
        <v>81</v>
      </c>
      <c r="J17" s="5" t="s">
        <v>82</v>
      </c>
      <c r="K17" s="5" t="s">
        <v>83</v>
      </c>
      <c r="M17" s="6">
        <v>46204</v>
      </c>
      <c r="N17" s="6">
        <v>46235</v>
      </c>
      <c r="O17" s="6">
        <v>46266</v>
      </c>
      <c r="P17" s="6">
        <v>46296</v>
      </c>
      <c r="Q17" s="6">
        <v>46327</v>
      </c>
      <c r="R17" s="6">
        <v>46357</v>
      </c>
      <c r="S17" s="6">
        <v>46388</v>
      </c>
      <c r="T17" s="6">
        <v>46419</v>
      </c>
      <c r="U17" s="6">
        <v>46447</v>
      </c>
      <c r="V17" s="6">
        <v>46478</v>
      </c>
      <c r="W17" s="6">
        <v>46508</v>
      </c>
      <c r="X17" s="6">
        <v>46539</v>
      </c>
    </row>
    <row r="18" spans="1:24" ht="15" customHeight="1" x14ac:dyDescent="0.25">
      <c r="A18" s="7">
        <v>1</v>
      </c>
      <c r="B18" s="7">
        <v>1</v>
      </c>
      <c r="C18" s="8" t="s">
        <v>84</v>
      </c>
      <c r="D18" s="8" t="s">
        <v>85</v>
      </c>
      <c r="E18" s="29">
        <f t="shared" ref="E18:E49" si="0">$C$4+ROUND((A18-1)*15/MAX($C$5,1),0)</f>
        <v>46305</v>
      </c>
      <c r="F18" s="29">
        <f t="shared" ref="F18:F49" si="1">E18-$C$11</f>
        <v>46300</v>
      </c>
      <c r="G18" s="29">
        <f t="shared" ref="G18:G49" si="2">F18-$C$10</f>
        <v>46285</v>
      </c>
      <c r="H18" s="29">
        <f t="shared" ref="H18:H49" si="3">G18-$C$9</f>
        <v>46280</v>
      </c>
      <c r="I18" s="29">
        <f t="shared" ref="I18:I49" si="4">H18-$C$8</f>
        <v>46250</v>
      </c>
      <c r="J18" s="29">
        <f t="shared" ref="J18:J49" si="5">E18+$C$12</f>
        <v>46312</v>
      </c>
      <c r="K18" s="7" t="str">
        <f t="shared" ref="K18:K49" ca="1" si="6">IF(I18&lt;$C$14,"⚠ Amont à lancer",IF(I18&lt;$C$14+30,"Bientôt","OK"))</f>
        <v>⚠ Amont à lancer</v>
      </c>
      <c r="M18" s="7" t="str">
        <f t="shared" ref="M18:X33" si="7">IF(AND($E18&gt;=M$17,$E18&lt;EDATE(M$17,1)),"C",IF(AND(EDATE(M$17,1)&gt;$I18,M$17&lt;$E18),"P",""))</f>
        <v/>
      </c>
      <c r="N18" s="7" t="str">
        <f t="shared" ref="N18:X18" si="8">IF(AND($E18&gt;=N$17,$E18&lt;EDATE(N$17,1)),"C",IF(AND(EDATE(N$17,1)&gt;$I18,N$17&lt;$E18),"P",""))</f>
        <v>P</v>
      </c>
      <c r="O18" s="7" t="str">
        <f t="shared" si="8"/>
        <v>P</v>
      </c>
      <c r="P18" s="7" t="str">
        <f t="shared" si="8"/>
        <v>C</v>
      </c>
      <c r="Q18" s="7" t="str">
        <f t="shared" si="8"/>
        <v/>
      </c>
      <c r="R18" s="7" t="str">
        <f t="shared" si="8"/>
        <v/>
      </c>
      <c r="S18" s="7" t="str">
        <f t="shared" si="8"/>
        <v/>
      </c>
      <c r="T18" s="7" t="str">
        <f t="shared" si="8"/>
        <v/>
      </c>
      <c r="U18" s="7" t="str">
        <f t="shared" si="8"/>
        <v/>
      </c>
      <c r="V18" s="7" t="str">
        <f t="shared" si="8"/>
        <v/>
      </c>
      <c r="W18" s="7" t="str">
        <f t="shared" si="8"/>
        <v/>
      </c>
      <c r="X18" s="7" t="str">
        <f t="shared" si="8"/>
        <v/>
      </c>
    </row>
    <row r="19" spans="1:24" ht="15" customHeight="1" x14ac:dyDescent="0.25">
      <c r="A19" s="7">
        <v>2</v>
      </c>
      <c r="B19" s="7">
        <v>1</v>
      </c>
      <c r="C19" s="8" t="s">
        <v>84</v>
      </c>
      <c r="D19" s="8" t="s">
        <v>85</v>
      </c>
      <c r="E19" s="29">
        <f t="shared" si="0"/>
        <v>46308</v>
      </c>
      <c r="F19" s="29">
        <f t="shared" si="1"/>
        <v>46303</v>
      </c>
      <c r="G19" s="29">
        <f t="shared" si="2"/>
        <v>46288</v>
      </c>
      <c r="H19" s="29">
        <f t="shared" si="3"/>
        <v>46283</v>
      </c>
      <c r="I19" s="29">
        <f t="shared" si="4"/>
        <v>46253</v>
      </c>
      <c r="J19" s="29">
        <f t="shared" si="5"/>
        <v>46315</v>
      </c>
      <c r="K19" s="7" t="str">
        <f t="shared" ca="1" si="6"/>
        <v>⚠ Amont à lancer</v>
      </c>
      <c r="M19" s="7" t="str">
        <f t="shared" si="7"/>
        <v/>
      </c>
      <c r="N19" s="7" t="str">
        <f t="shared" si="7"/>
        <v>P</v>
      </c>
      <c r="O19" s="7" t="str">
        <f t="shared" si="7"/>
        <v>P</v>
      </c>
      <c r="P19" s="7" t="str">
        <f t="shared" si="7"/>
        <v>C</v>
      </c>
      <c r="Q19" s="7" t="str">
        <f t="shared" si="7"/>
        <v/>
      </c>
      <c r="R19" s="7" t="str">
        <f t="shared" si="7"/>
        <v/>
      </c>
      <c r="S19" s="7" t="str">
        <f t="shared" si="7"/>
        <v/>
      </c>
      <c r="T19" s="7" t="str">
        <f t="shared" si="7"/>
        <v/>
      </c>
      <c r="U19" s="7" t="str">
        <f t="shared" si="7"/>
        <v/>
      </c>
      <c r="V19" s="7" t="str">
        <f t="shared" si="7"/>
        <v/>
      </c>
      <c r="W19" s="7" t="str">
        <f t="shared" si="7"/>
        <v/>
      </c>
      <c r="X19" s="7" t="str">
        <f t="shared" si="7"/>
        <v/>
      </c>
    </row>
    <row r="20" spans="1:24" ht="15" customHeight="1" x14ac:dyDescent="0.25">
      <c r="A20" s="7">
        <v>3</v>
      </c>
      <c r="B20" s="7">
        <v>1</v>
      </c>
      <c r="C20" s="8" t="s">
        <v>84</v>
      </c>
      <c r="D20" s="8" t="s">
        <v>85</v>
      </c>
      <c r="E20" s="29">
        <f t="shared" si="0"/>
        <v>46311</v>
      </c>
      <c r="F20" s="29">
        <f t="shared" si="1"/>
        <v>46306</v>
      </c>
      <c r="G20" s="29">
        <f t="shared" si="2"/>
        <v>46291</v>
      </c>
      <c r="H20" s="29">
        <f t="shared" si="3"/>
        <v>46286</v>
      </c>
      <c r="I20" s="29">
        <f t="shared" si="4"/>
        <v>46256</v>
      </c>
      <c r="J20" s="29">
        <f t="shared" si="5"/>
        <v>46318</v>
      </c>
      <c r="K20" s="7" t="str">
        <f t="shared" ca="1" si="6"/>
        <v>⚠ Amont à lancer</v>
      </c>
      <c r="M20" s="7" t="str">
        <f t="shared" si="7"/>
        <v/>
      </c>
      <c r="N20" s="7" t="str">
        <f t="shared" si="7"/>
        <v>P</v>
      </c>
      <c r="O20" s="7" t="str">
        <f t="shared" si="7"/>
        <v>P</v>
      </c>
      <c r="P20" s="7" t="str">
        <f t="shared" si="7"/>
        <v>C</v>
      </c>
      <c r="Q20" s="7" t="str">
        <f t="shared" si="7"/>
        <v/>
      </c>
      <c r="R20" s="7" t="str">
        <f t="shared" si="7"/>
        <v/>
      </c>
      <c r="S20" s="7" t="str">
        <f t="shared" si="7"/>
        <v/>
      </c>
      <c r="T20" s="7" t="str">
        <f t="shared" si="7"/>
        <v/>
      </c>
      <c r="U20" s="7" t="str">
        <f t="shared" si="7"/>
        <v/>
      </c>
      <c r="V20" s="7" t="str">
        <f t="shared" si="7"/>
        <v/>
      </c>
      <c r="W20" s="7" t="str">
        <f t="shared" si="7"/>
        <v/>
      </c>
      <c r="X20" s="7" t="str">
        <f t="shared" si="7"/>
        <v/>
      </c>
    </row>
    <row r="21" spans="1:24" ht="15" customHeight="1" x14ac:dyDescent="0.25">
      <c r="A21" s="7">
        <v>4</v>
      </c>
      <c r="B21" s="7">
        <v>1</v>
      </c>
      <c r="C21" s="8" t="s">
        <v>86</v>
      </c>
      <c r="D21" s="8" t="s">
        <v>85</v>
      </c>
      <c r="E21" s="29">
        <f t="shared" si="0"/>
        <v>46314</v>
      </c>
      <c r="F21" s="29">
        <f t="shared" si="1"/>
        <v>46309</v>
      </c>
      <c r="G21" s="29">
        <f t="shared" si="2"/>
        <v>46294</v>
      </c>
      <c r="H21" s="29">
        <f t="shared" si="3"/>
        <v>46289</v>
      </c>
      <c r="I21" s="29">
        <f t="shared" si="4"/>
        <v>46259</v>
      </c>
      <c r="J21" s="29">
        <f t="shared" si="5"/>
        <v>46321</v>
      </c>
      <c r="K21" s="7" t="str">
        <f t="shared" ca="1" si="6"/>
        <v>⚠ Amont à lancer</v>
      </c>
      <c r="M21" s="7" t="str">
        <f t="shared" si="7"/>
        <v/>
      </c>
      <c r="N21" s="7" t="str">
        <f t="shared" si="7"/>
        <v>P</v>
      </c>
      <c r="O21" s="7" t="str">
        <f t="shared" si="7"/>
        <v>P</v>
      </c>
      <c r="P21" s="7" t="str">
        <f t="shared" si="7"/>
        <v>C</v>
      </c>
      <c r="Q21" s="7" t="str">
        <f t="shared" si="7"/>
        <v/>
      </c>
      <c r="R21" s="7" t="str">
        <f t="shared" si="7"/>
        <v/>
      </c>
      <c r="S21" s="7" t="str">
        <f t="shared" si="7"/>
        <v/>
      </c>
      <c r="T21" s="7" t="str">
        <f t="shared" si="7"/>
        <v/>
      </c>
      <c r="U21" s="7" t="str">
        <f t="shared" si="7"/>
        <v/>
      </c>
      <c r="V21" s="7" t="str">
        <f t="shared" si="7"/>
        <v/>
      </c>
      <c r="W21" s="7" t="str">
        <f t="shared" si="7"/>
        <v/>
      </c>
      <c r="X21" s="7" t="str">
        <f t="shared" si="7"/>
        <v/>
      </c>
    </row>
    <row r="22" spans="1:24" ht="15" customHeight="1" x14ac:dyDescent="0.25">
      <c r="A22" s="7">
        <v>5</v>
      </c>
      <c r="B22" s="7">
        <v>1</v>
      </c>
      <c r="C22" s="8" t="s">
        <v>86</v>
      </c>
      <c r="D22" s="8" t="s">
        <v>85</v>
      </c>
      <c r="E22" s="29">
        <f t="shared" si="0"/>
        <v>46317</v>
      </c>
      <c r="F22" s="29">
        <f t="shared" si="1"/>
        <v>46312</v>
      </c>
      <c r="G22" s="29">
        <f t="shared" si="2"/>
        <v>46297</v>
      </c>
      <c r="H22" s="29">
        <f t="shared" si="3"/>
        <v>46292</v>
      </c>
      <c r="I22" s="29">
        <f t="shared" si="4"/>
        <v>46262</v>
      </c>
      <c r="J22" s="29">
        <f t="shared" si="5"/>
        <v>46324</v>
      </c>
      <c r="K22" s="7" t="str">
        <f t="shared" ca="1" si="6"/>
        <v>⚠ Amont à lancer</v>
      </c>
      <c r="M22" s="7" t="str">
        <f t="shared" si="7"/>
        <v/>
      </c>
      <c r="N22" s="7" t="str">
        <f t="shared" si="7"/>
        <v>P</v>
      </c>
      <c r="O22" s="7" t="str">
        <f t="shared" si="7"/>
        <v>P</v>
      </c>
      <c r="P22" s="7" t="str">
        <f t="shared" si="7"/>
        <v>C</v>
      </c>
      <c r="Q22" s="7" t="str">
        <f t="shared" si="7"/>
        <v/>
      </c>
      <c r="R22" s="7" t="str">
        <f t="shared" si="7"/>
        <v/>
      </c>
      <c r="S22" s="7" t="str">
        <f t="shared" si="7"/>
        <v/>
      </c>
      <c r="T22" s="7" t="str">
        <f t="shared" si="7"/>
        <v/>
      </c>
      <c r="U22" s="7" t="str">
        <f t="shared" si="7"/>
        <v/>
      </c>
      <c r="V22" s="7" t="str">
        <f t="shared" si="7"/>
        <v/>
      </c>
      <c r="W22" s="7" t="str">
        <f t="shared" si="7"/>
        <v/>
      </c>
      <c r="X22" s="7" t="str">
        <f t="shared" si="7"/>
        <v/>
      </c>
    </row>
    <row r="23" spans="1:24" ht="15" customHeight="1" x14ac:dyDescent="0.25">
      <c r="A23" s="7">
        <v>6</v>
      </c>
      <c r="B23" s="7">
        <v>1</v>
      </c>
      <c r="C23" s="8" t="s">
        <v>86</v>
      </c>
      <c r="D23" s="8" t="s">
        <v>85</v>
      </c>
      <c r="E23" s="29">
        <f t="shared" si="0"/>
        <v>46320</v>
      </c>
      <c r="F23" s="29">
        <f t="shared" si="1"/>
        <v>46315</v>
      </c>
      <c r="G23" s="29">
        <f t="shared" si="2"/>
        <v>46300</v>
      </c>
      <c r="H23" s="29">
        <f t="shared" si="3"/>
        <v>46295</v>
      </c>
      <c r="I23" s="29">
        <f t="shared" si="4"/>
        <v>46265</v>
      </c>
      <c r="J23" s="29">
        <f t="shared" si="5"/>
        <v>46327</v>
      </c>
      <c r="K23" s="7" t="str">
        <f t="shared" ca="1" si="6"/>
        <v>⚠ Amont à lancer</v>
      </c>
      <c r="M23" s="7" t="str">
        <f t="shared" si="7"/>
        <v/>
      </c>
      <c r="N23" s="7" t="str">
        <f t="shared" si="7"/>
        <v>P</v>
      </c>
      <c r="O23" s="7" t="str">
        <f t="shared" si="7"/>
        <v>P</v>
      </c>
      <c r="P23" s="7" t="str">
        <f t="shared" si="7"/>
        <v>C</v>
      </c>
      <c r="Q23" s="7" t="str">
        <f t="shared" si="7"/>
        <v/>
      </c>
      <c r="R23" s="7" t="str">
        <f t="shared" si="7"/>
        <v/>
      </c>
      <c r="S23" s="7" t="str">
        <f t="shared" si="7"/>
        <v/>
      </c>
      <c r="T23" s="7" t="str">
        <f t="shared" si="7"/>
        <v/>
      </c>
      <c r="U23" s="7" t="str">
        <f t="shared" si="7"/>
        <v/>
      </c>
      <c r="V23" s="7" t="str">
        <f t="shared" si="7"/>
        <v/>
      </c>
      <c r="W23" s="7" t="str">
        <f t="shared" si="7"/>
        <v/>
      </c>
      <c r="X23" s="7" t="str">
        <f t="shared" si="7"/>
        <v/>
      </c>
    </row>
    <row r="24" spans="1:24" ht="15" customHeight="1" x14ac:dyDescent="0.25">
      <c r="A24" s="7">
        <v>7</v>
      </c>
      <c r="B24" s="7">
        <v>1</v>
      </c>
      <c r="C24" s="8" t="s">
        <v>86</v>
      </c>
      <c r="D24" s="8" t="s">
        <v>85</v>
      </c>
      <c r="E24" s="29">
        <f t="shared" si="0"/>
        <v>46323</v>
      </c>
      <c r="F24" s="29">
        <f t="shared" si="1"/>
        <v>46318</v>
      </c>
      <c r="G24" s="29">
        <f t="shared" si="2"/>
        <v>46303</v>
      </c>
      <c r="H24" s="29">
        <f t="shared" si="3"/>
        <v>46298</v>
      </c>
      <c r="I24" s="29">
        <f t="shared" si="4"/>
        <v>46268</v>
      </c>
      <c r="J24" s="29">
        <f t="shared" si="5"/>
        <v>46330</v>
      </c>
      <c r="K24" s="7" t="str">
        <f t="shared" ca="1" si="6"/>
        <v>⚠ Amont à lancer</v>
      </c>
      <c r="M24" s="7" t="str">
        <f t="shared" si="7"/>
        <v/>
      </c>
      <c r="N24" s="7" t="str">
        <f t="shared" si="7"/>
        <v/>
      </c>
      <c r="O24" s="7" t="str">
        <f t="shared" si="7"/>
        <v>P</v>
      </c>
      <c r="P24" s="7" t="str">
        <f t="shared" si="7"/>
        <v>C</v>
      </c>
      <c r="Q24" s="7" t="str">
        <f t="shared" si="7"/>
        <v/>
      </c>
      <c r="R24" s="7" t="str">
        <f t="shared" si="7"/>
        <v/>
      </c>
      <c r="S24" s="7" t="str">
        <f t="shared" si="7"/>
        <v/>
      </c>
      <c r="T24" s="7" t="str">
        <f t="shared" si="7"/>
        <v/>
      </c>
      <c r="U24" s="7" t="str">
        <f t="shared" si="7"/>
        <v/>
      </c>
      <c r="V24" s="7" t="str">
        <f t="shared" si="7"/>
        <v/>
      </c>
      <c r="W24" s="7" t="str">
        <f t="shared" si="7"/>
        <v/>
      </c>
      <c r="X24" s="7" t="str">
        <f t="shared" si="7"/>
        <v/>
      </c>
    </row>
    <row r="25" spans="1:24" ht="15" customHeight="1" x14ac:dyDescent="0.25">
      <c r="A25" s="7">
        <v>8</v>
      </c>
      <c r="B25" s="7">
        <v>1</v>
      </c>
      <c r="C25" s="8" t="s">
        <v>86</v>
      </c>
      <c r="D25" s="8" t="s">
        <v>85</v>
      </c>
      <c r="E25" s="29">
        <f t="shared" si="0"/>
        <v>46326</v>
      </c>
      <c r="F25" s="29">
        <f t="shared" si="1"/>
        <v>46321</v>
      </c>
      <c r="G25" s="29">
        <f t="shared" si="2"/>
        <v>46306</v>
      </c>
      <c r="H25" s="29">
        <f t="shared" si="3"/>
        <v>46301</v>
      </c>
      <c r="I25" s="29">
        <f t="shared" si="4"/>
        <v>46271</v>
      </c>
      <c r="J25" s="29">
        <f t="shared" si="5"/>
        <v>46333</v>
      </c>
      <c r="K25" s="7" t="str">
        <f t="shared" ca="1" si="6"/>
        <v>⚠ Amont à lancer</v>
      </c>
      <c r="M25" s="7" t="str">
        <f t="shared" si="7"/>
        <v/>
      </c>
      <c r="N25" s="7" t="str">
        <f t="shared" si="7"/>
        <v/>
      </c>
      <c r="O25" s="7" t="str">
        <f t="shared" si="7"/>
        <v>P</v>
      </c>
      <c r="P25" s="7" t="str">
        <f t="shared" si="7"/>
        <v>C</v>
      </c>
      <c r="Q25" s="7" t="str">
        <f t="shared" si="7"/>
        <v/>
      </c>
      <c r="R25" s="7" t="str">
        <f t="shared" si="7"/>
        <v/>
      </c>
      <c r="S25" s="7" t="str">
        <f t="shared" si="7"/>
        <v/>
      </c>
      <c r="T25" s="7" t="str">
        <f t="shared" si="7"/>
        <v/>
      </c>
      <c r="U25" s="7" t="str">
        <f t="shared" si="7"/>
        <v/>
      </c>
      <c r="V25" s="7" t="str">
        <f t="shared" si="7"/>
        <v/>
      </c>
      <c r="W25" s="7" t="str">
        <f t="shared" si="7"/>
        <v/>
      </c>
      <c r="X25" s="7" t="str">
        <f t="shared" si="7"/>
        <v/>
      </c>
    </row>
    <row r="26" spans="1:24" ht="15" customHeight="1" x14ac:dyDescent="0.25">
      <c r="A26" s="7">
        <v>9</v>
      </c>
      <c r="B26" s="7">
        <v>1</v>
      </c>
      <c r="C26" s="8" t="s">
        <v>86</v>
      </c>
      <c r="D26" s="8" t="s">
        <v>85</v>
      </c>
      <c r="E26" s="29">
        <f t="shared" si="0"/>
        <v>46329</v>
      </c>
      <c r="F26" s="29">
        <f t="shared" si="1"/>
        <v>46324</v>
      </c>
      <c r="G26" s="29">
        <f t="shared" si="2"/>
        <v>46309</v>
      </c>
      <c r="H26" s="29">
        <f t="shared" si="3"/>
        <v>46304</v>
      </c>
      <c r="I26" s="29">
        <f t="shared" si="4"/>
        <v>46274</v>
      </c>
      <c r="J26" s="29">
        <f t="shared" si="5"/>
        <v>46336</v>
      </c>
      <c r="K26" s="7" t="str">
        <f t="shared" ca="1" si="6"/>
        <v>⚠ Amont à lancer</v>
      </c>
      <c r="M26" s="7" t="str">
        <f t="shared" si="7"/>
        <v/>
      </c>
      <c r="N26" s="7" t="str">
        <f t="shared" si="7"/>
        <v/>
      </c>
      <c r="O26" s="7" t="str">
        <f t="shared" si="7"/>
        <v>P</v>
      </c>
      <c r="P26" s="7" t="str">
        <f t="shared" si="7"/>
        <v>P</v>
      </c>
      <c r="Q26" s="7" t="str">
        <f t="shared" si="7"/>
        <v>C</v>
      </c>
      <c r="R26" s="7" t="str">
        <f t="shared" si="7"/>
        <v/>
      </c>
      <c r="S26" s="7" t="str">
        <f t="shared" si="7"/>
        <v/>
      </c>
      <c r="T26" s="7" t="str">
        <f t="shared" si="7"/>
        <v/>
      </c>
      <c r="U26" s="7" t="str">
        <f t="shared" si="7"/>
        <v/>
      </c>
      <c r="V26" s="7" t="str">
        <f t="shared" si="7"/>
        <v/>
      </c>
      <c r="W26" s="7" t="str">
        <f t="shared" si="7"/>
        <v/>
      </c>
      <c r="X26" s="7" t="str">
        <f t="shared" si="7"/>
        <v/>
      </c>
    </row>
    <row r="27" spans="1:24" ht="15" customHeight="1" x14ac:dyDescent="0.25">
      <c r="A27" s="7">
        <v>10</v>
      </c>
      <c r="B27" s="7">
        <v>1</v>
      </c>
      <c r="C27" s="8" t="s">
        <v>86</v>
      </c>
      <c r="D27" s="8" t="s">
        <v>85</v>
      </c>
      <c r="E27" s="29">
        <f t="shared" si="0"/>
        <v>46332</v>
      </c>
      <c r="F27" s="29">
        <f t="shared" si="1"/>
        <v>46327</v>
      </c>
      <c r="G27" s="29">
        <f t="shared" si="2"/>
        <v>46312</v>
      </c>
      <c r="H27" s="29">
        <f t="shared" si="3"/>
        <v>46307</v>
      </c>
      <c r="I27" s="29">
        <f t="shared" si="4"/>
        <v>46277</v>
      </c>
      <c r="J27" s="29">
        <f t="shared" si="5"/>
        <v>46339</v>
      </c>
      <c r="K27" s="7" t="str">
        <f t="shared" ca="1" si="6"/>
        <v>⚠ Amont à lancer</v>
      </c>
      <c r="M27" s="7" t="str">
        <f t="shared" si="7"/>
        <v/>
      </c>
      <c r="N27" s="7" t="str">
        <f t="shared" si="7"/>
        <v/>
      </c>
      <c r="O27" s="7" t="str">
        <f t="shared" si="7"/>
        <v>P</v>
      </c>
      <c r="P27" s="7" t="str">
        <f t="shared" si="7"/>
        <v>P</v>
      </c>
      <c r="Q27" s="7" t="str">
        <f t="shared" si="7"/>
        <v>C</v>
      </c>
      <c r="R27" s="7" t="str">
        <f t="shared" si="7"/>
        <v/>
      </c>
      <c r="S27" s="7" t="str">
        <f t="shared" si="7"/>
        <v/>
      </c>
      <c r="T27" s="7" t="str">
        <f t="shared" si="7"/>
        <v/>
      </c>
      <c r="U27" s="7" t="str">
        <f t="shared" si="7"/>
        <v/>
      </c>
      <c r="V27" s="7" t="str">
        <f t="shared" si="7"/>
        <v/>
      </c>
      <c r="W27" s="7" t="str">
        <f t="shared" si="7"/>
        <v/>
      </c>
      <c r="X27" s="7" t="str">
        <f t="shared" si="7"/>
        <v/>
      </c>
    </row>
    <row r="28" spans="1:24" ht="15" customHeight="1" x14ac:dyDescent="0.25">
      <c r="A28" s="7">
        <v>11</v>
      </c>
      <c r="B28" s="7">
        <v>1</v>
      </c>
      <c r="C28" s="8" t="s">
        <v>86</v>
      </c>
      <c r="D28" s="8" t="s">
        <v>85</v>
      </c>
      <c r="E28" s="29">
        <f t="shared" si="0"/>
        <v>46335</v>
      </c>
      <c r="F28" s="29">
        <f t="shared" si="1"/>
        <v>46330</v>
      </c>
      <c r="G28" s="29">
        <f t="shared" si="2"/>
        <v>46315</v>
      </c>
      <c r="H28" s="29">
        <f t="shared" si="3"/>
        <v>46310</v>
      </c>
      <c r="I28" s="29">
        <f t="shared" si="4"/>
        <v>46280</v>
      </c>
      <c r="J28" s="29">
        <f t="shared" si="5"/>
        <v>46342</v>
      </c>
      <c r="K28" s="7" t="str">
        <f t="shared" ca="1" si="6"/>
        <v>⚠ Amont à lancer</v>
      </c>
      <c r="M28" s="7" t="str">
        <f t="shared" si="7"/>
        <v/>
      </c>
      <c r="N28" s="7" t="str">
        <f t="shared" si="7"/>
        <v/>
      </c>
      <c r="O28" s="7" t="str">
        <f t="shared" si="7"/>
        <v>P</v>
      </c>
      <c r="P28" s="7" t="str">
        <f t="shared" si="7"/>
        <v>P</v>
      </c>
      <c r="Q28" s="7" t="str">
        <f t="shared" si="7"/>
        <v>C</v>
      </c>
      <c r="R28" s="7" t="str">
        <f t="shared" si="7"/>
        <v/>
      </c>
      <c r="S28" s="7" t="str">
        <f t="shared" si="7"/>
        <v/>
      </c>
      <c r="T28" s="7" t="str">
        <f t="shared" si="7"/>
        <v/>
      </c>
      <c r="U28" s="7" t="str">
        <f t="shared" si="7"/>
        <v/>
      </c>
      <c r="V28" s="7" t="str">
        <f t="shared" si="7"/>
        <v/>
      </c>
      <c r="W28" s="7" t="str">
        <f t="shared" si="7"/>
        <v/>
      </c>
      <c r="X28" s="7" t="str">
        <f t="shared" si="7"/>
        <v/>
      </c>
    </row>
    <row r="29" spans="1:24" ht="15" customHeight="1" x14ac:dyDescent="0.25">
      <c r="A29" s="7">
        <v>12</v>
      </c>
      <c r="B29" s="7">
        <v>1</v>
      </c>
      <c r="C29" s="8" t="s">
        <v>86</v>
      </c>
      <c r="D29" s="8" t="s">
        <v>85</v>
      </c>
      <c r="E29" s="29">
        <f t="shared" si="0"/>
        <v>46338</v>
      </c>
      <c r="F29" s="29">
        <f t="shared" si="1"/>
        <v>46333</v>
      </c>
      <c r="G29" s="29">
        <f t="shared" si="2"/>
        <v>46318</v>
      </c>
      <c r="H29" s="29">
        <f t="shared" si="3"/>
        <v>46313</v>
      </c>
      <c r="I29" s="29">
        <f t="shared" si="4"/>
        <v>46283</v>
      </c>
      <c r="J29" s="29">
        <f t="shared" si="5"/>
        <v>46345</v>
      </c>
      <c r="K29" s="7" t="str">
        <f t="shared" ca="1" si="6"/>
        <v>⚠ Amont à lancer</v>
      </c>
      <c r="M29" s="7" t="str">
        <f t="shared" si="7"/>
        <v/>
      </c>
      <c r="N29" s="7" t="str">
        <f t="shared" si="7"/>
        <v/>
      </c>
      <c r="O29" s="7" t="str">
        <f t="shared" si="7"/>
        <v>P</v>
      </c>
      <c r="P29" s="7" t="str">
        <f t="shared" si="7"/>
        <v>P</v>
      </c>
      <c r="Q29" s="7" t="str">
        <f t="shared" si="7"/>
        <v>C</v>
      </c>
      <c r="R29" s="7" t="str">
        <f t="shared" si="7"/>
        <v/>
      </c>
      <c r="S29" s="7" t="str">
        <f t="shared" si="7"/>
        <v/>
      </c>
      <c r="T29" s="7" t="str">
        <f t="shared" si="7"/>
        <v/>
      </c>
      <c r="U29" s="7" t="str">
        <f t="shared" si="7"/>
        <v/>
      </c>
      <c r="V29" s="7" t="str">
        <f t="shared" si="7"/>
        <v/>
      </c>
      <c r="W29" s="7" t="str">
        <f t="shared" si="7"/>
        <v/>
      </c>
      <c r="X29" s="7" t="str">
        <f t="shared" si="7"/>
        <v/>
      </c>
    </row>
    <row r="30" spans="1:24" ht="15" customHeight="1" x14ac:dyDescent="0.25">
      <c r="A30" s="7">
        <v>13</v>
      </c>
      <c r="B30" s="7">
        <v>1</v>
      </c>
      <c r="C30" s="8" t="s">
        <v>86</v>
      </c>
      <c r="D30" s="8" t="s">
        <v>85</v>
      </c>
      <c r="E30" s="29">
        <f t="shared" si="0"/>
        <v>46341</v>
      </c>
      <c r="F30" s="29">
        <f t="shared" si="1"/>
        <v>46336</v>
      </c>
      <c r="G30" s="29">
        <f t="shared" si="2"/>
        <v>46321</v>
      </c>
      <c r="H30" s="29">
        <f t="shared" si="3"/>
        <v>46316</v>
      </c>
      <c r="I30" s="29">
        <f t="shared" si="4"/>
        <v>46286</v>
      </c>
      <c r="J30" s="29">
        <f t="shared" si="5"/>
        <v>46348</v>
      </c>
      <c r="K30" s="7" t="str">
        <f t="shared" ca="1" si="6"/>
        <v>⚠ Amont à lancer</v>
      </c>
      <c r="M30" s="7" t="str">
        <f t="shared" si="7"/>
        <v/>
      </c>
      <c r="N30" s="7" t="str">
        <f t="shared" si="7"/>
        <v/>
      </c>
      <c r="O30" s="7" t="str">
        <f t="shared" si="7"/>
        <v>P</v>
      </c>
      <c r="P30" s="7" t="str">
        <f t="shared" si="7"/>
        <v>P</v>
      </c>
      <c r="Q30" s="7" t="str">
        <f t="shared" si="7"/>
        <v>C</v>
      </c>
      <c r="R30" s="7" t="str">
        <f t="shared" si="7"/>
        <v/>
      </c>
      <c r="S30" s="7" t="str">
        <f t="shared" si="7"/>
        <v/>
      </c>
      <c r="T30" s="7" t="str">
        <f t="shared" si="7"/>
        <v/>
      </c>
      <c r="U30" s="7" t="str">
        <f t="shared" si="7"/>
        <v/>
      </c>
      <c r="V30" s="7" t="str">
        <f t="shared" si="7"/>
        <v/>
      </c>
      <c r="W30" s="7" t="str">
        <f t="shared" si="7"/>
        <v/>
      </c>
      <c r="X30" s="7" t="str">
        <f t="shared" si="7"/>
        <v/>
      </c>
    </row>
    <row r="31" spans="1:24" ht="15" customHeight="1" x14ac:dyDescent="0.25">
      <c r="A31" s="7">
        <v>14</v>
      </c>
      <c r="B31" s="7">
        <v>1</v>
      </c>
      <c r="C31" s="8" t="s">
        <v>86</v>
      </c>
      <c r="D31" s="8" t="s">
        <v>87</v>
      </c>
      <c r="E31" s="29">
        <f t="shared" si="0"/>
        <v>46344</v>
      </c>
      <c r="F31" s="29">
        <f t="shared" si="1"/>
        <v>46339</v>
      </c>
      <c r="G31" s="29">
        <f t="shared" si="2"/>
        <v>46324</v>
      </c>
      <c r="H31" s="29">
        <f t="shared" si="3"/>
        <v>46319</v>
      </c>
      <c r="I31" s="29">
        <f t="shared" si="4"/>
        <v>46289</v>
      </c>
      <c r="J31" s="29">
        <f t="shared" si="5"/>
        <v>46351</v>
      </c>
      <c r="K31" s="7" t="str">
        <f t="shared" ca="1" si="6"/>
        <v>⚠ Amont à lancer</v>
      </c>
      <c r="M31" s="7" t="str">
        <f t="shared" si="7"/>
        <v/>
      </c>
      <c r="N31" s="7" t="str">
        <f t="shared" si="7"/>
        <v/>
      </c>
      <c r="O31" s="7" t="str">
        <f t="shared" si="7"/>
        <v>P</v>
      </c>
      <c r="P31" s="7" t="str">
        <f t="shared" si="7"/>
        <v>P</v>
      </c>
      <c r="Q31" s="7" t="str">
        <f t="shared" si="7"/>
        <v>C</v>
      </c>
      <c r="R31" s="7" t="str">
        <f t="shared" si="7"/>
        <v/>
      </c>
      <c r="S31" s="7" t="str">
        <f t="shared" si="7"/>
        <v/>
      </c>
      <c r="T31" s="7" t="str">
        <f t="shared" si="7"/>
        <v/>
      </c>
      <c r="U31" s="7" t="str">
        <f t="shared" si="7"/>
        <v/>
      </c>
      <c r="V31" s="7" t="str">
        <f t="shared" si="7"/>
        <v/>
      </c>
      <c r="W31" s="7" t="str">
        <f t="shared" si="7"/>
        <v/>
      </c>
      <c r="X31" s="7" t="str">
        <f t="shared" si="7"/>
        <v/>
      </c>
    </row>
    <row r="32" spans="1:24" ht="15" customHeight="1" x14ac:dyDescent="0.25">
      <c r="A32" s="7">
        <v>15</v>
      </c>
      <c r="B32" s="7">
        <v>1</v>
      </c>
      <c r="C32" s="8" t="s">
        <v>88</v>
      </c>
      <c r="D32" s="8" t="s">
        <v>85</v>
      </c>
      <c r="E32" s="29">
        <f t="shared" si="0"/>
        <v>46347</v>
      </c>
      <c r="F32" s="29">
        <f t="shared" si="1"/>
        <v>46342</v>
      </c>
      <c r="G32" s="29">
        <f t="shared" si="2"/>
        <v>46327</v>
      </c>
      <c r="H32" s="29">
        <f t="shared" si="3"/>
        <v>46322</v>
      </c>
      <c r="I32" s="29">
        <f t="shared" si="4"/>
        <v>46292</v>
      </c>
      <c r="J32" s="29">
        <f t="shared" si="5"/>
        <v>46354</v>
      </c>
      <c r="K32" s="7" t="str">
        <f t="shared" ca="1" si="6"/>
        <v>⚠ Amont à lancer</v>
      </c>
      <c r="M32" s="7" t="str">
        <f t="shared" si="7"/>
        <v/>
      </c>
      <c r="N32" s="7" t="str">
        <f t="shared" si="7"/>
        <v/>
      </c>
      <c r="O32" s="7" t="str">
        <f t="shared" si="7"/>
        <v>P</v>
      </c>
      <c r="P32" s="7" t="str">
        <f t="shared" si="7"/>
        <v>P</v>
      </c>
      <c r="Q32" s="7" t="str">
        <f t="shared" si="7"/>
        <v>C</v>
      </c>
      <c r="R32" s="7" t="str">
        <f t="shared" si="7"/>
        <v/>
      </c>
      <c r="S32" s="7" t="str">
        <f t="shared" si="7"/>
        <v/>
      </c>
      <c r="T32" s="7" t="str">
        <f t="shared" si="7"/>
        <v/>
      </c>
      <c r="U32" s="7" t="str">
        <f t="shared" si="7"/>
        <v/>
      </c>
      <c r="V32" s="7" t="str">
        <f t="shared" si="7"/>
        <v/>
      </c>
      <c r="W32" s="7" t="str">
        <f t="shared" si="7"/>
        <v/>
      </c>
      <c r="X32" s="7" t="str">
        <f t="shared" si="7"/>
        <v/>
      </c>
    </row>
    <row r="33" spans="1:24" ht="15" customHeight="1" x14ac:dyDescent="0.25">
      <c r="A33" s="7">
        <v>16</v>
      </c>
      <c r="B33" s="7">
        <v>1</v>
      </c>
      <c r="C33" s="8" t="s">
        <v>88</v>
      </c>
      <c r="D33" s="8" t="s">
        <v>85</v>
      </c>
      <c r="E33" s="29">
        <f t="shared" si="0"/>
        <v>46350</v>
      </c>
      <c r="F33" s="29">
        <f t="shared" si="1"/>
        <v>46345</v>
      </c>
      <c r="G33" s="29">
        <f t="shared" si="2"/>
        <v>46330</v>
      </c>
      <c r="H33" s="29">
        <f t="shared" si="3"/>
        <v>46325</v>
      </c>
      <c r="I33" s="29">
        <f t="shared" si="4"/>
        <v>46295</v>
      </c>
      <c r="J33" s="29">
        <f t="shared" si="5"/>
        <v>46357</v>
      </c>
      <c r="K33" s="7" t="str">
        <f t="shared" ca="1" si="6"/>
        <v>⚠ Amont à lancer</v>
      </c>
      <c r="M33" s="7" t="str">
        <f t="shared" si="7"/>
        <v/>
      </c>
      <c r="N33" s="7" t="str">
        <f t="shared" si="7"/>
        <v/>
      </c>
      <c r="O33" s="7" t="str">
        <f t="shared" si="7"/>
        <v>P</v>
      </c>
      <c r="P33" s="7" t="str">
        <f t="shared" si="7"/>
        <v>P</v>
      </c>
      <c r="Q33" s="7" t="str">
        <f t="shared" si="7"/>
        <v>C</v>
      </c>
      <c r="R33" s="7" t="str">
        <f t="shared" si="7"/>
        <v/>
      </c>
      <c r="S33" s="7" t="str">
        <f t="shared" si="7"/>
        <v/>
      </c>
      <c r="T33" s="7" t="str">
        <f t="shared" si="7"/>
        <v/>
      </c>
      <c r="U33" s="7" t="str">
        <f t="shared" si="7"/>
        <v/>
      </c>
      <c r="V33" s="7" t="str">
        <f t="shared" si="7"/>
        <v/>
      </c>
      <c r="W33" s="7" t="str">
        <f t="shared" si="7"/>
        <v/>
      </c>
      <c r="X33" s="7" t="str">
        <f t="shared" si="7"/>
        <v/>
      </c>
    </row>
    <row r="34" spans="1:24" ht="15" customHeight="1" x14ac:dyDescent="0.25">
      <c r="A34" s="7">
        <v>17</v>
      </c>
      <c r="B34" s="7">
        <v>1</v>
      </c>
      <c r="C34" s="8" t="s">
        <v>88</v>
      </c>
      <c r="D34" s="8" t="s">
        <v>85</v>
      </c>
      <c r="E34" s="29">
        <f t="shared" si="0"/>
        <v>46353</v>
      </c>
      <c r="F34" s="29">
        <f t="shared" si="1"/>
        <v>46348</v>
      </c>
      <c r="G34" s="29">
        <f t="shared" si="2"/>
        <v>46333</v>
      </c>
      <c r="H34" s="29">
        <f t="shared" si="3"/>
        <v>46328</v>
      </c>
      <c r="I34" s="29">
        <f t="shared" si="4"/>
        <v>46298</v>
      </c>
      <c r="J34" s="29">
        <f t="shared" si="5"/>
        <v>46360</v>
      </c>
      <c r="K34" s="7" t="str">
        <f t="shared" ca="1" si="6"/>
        <v>⚠ Amont à lancer</v>
      </c>
      <c r="M34" s="7" t="str">
        <f t="shared" ref="M34:X55" si="9">IF(AND($E34&gt;=M$17,$E34&lt;EDATE(M$17,1)),"C",IF(AND(EDATE(M$17,1)&gt;$I34,M$17&lt;$E34),"P",""))</f>
        <v/>
      </c>
      <c r="N34" s="7" t="str">
        <f t="shared" si="9"/>
        <v/>
      </c>
      <c r="O34" s="7" t="str">
        <f t="shared" si="9"/>
        <v/>
      </c>
      <c r="P34" s="7" t="str">
        <f t="shared" si="9"/>
        <v>P</v>
      </c>
      <c r="Q34" s="7" t="str">
        <f t="shared" si="9"/>
        <v>C</v>
      </c>
      <c r="R34" s="7" t="str">
        <f t="shared" si="9"/>
        <v/>
      </c>
      <c r="S34" s="7" t="str">
        <f t="shared" si="9"/>
        <v/>
      </c>
      <c r="T34" s="7" t="str">
        <f t="shared" si="9"/>
        <v/>
      </c>
      <c r="U34" s="7" t="str">
        <f t="shared" si="9"/>
        <v/>
      </c>
      <c r="V34" s="7" t="str">
        <f t="shared" si="9"/>
        <v/>
      </c>
      <c r="W34" s="7" t="str">
        <f t="shared" si="9"/>
        <v/>
      </c>
      <c r="X34" s="7" t="str">
        <f t="shared" si="9"/>
        <v/>
      </c>
    </row>
    <row r="35" spans="1:24" ht="15" customHeight="1" x14ac:dyDescent="0.25">
      <c r="A35" s="7">
        <v>18</v>
      </c>
      <c r="B35" s="7">
        <v>1</v>
      </c>
      <c r="C35" s="8" t="s">
        <v>88</v>
      </c>
      <c r="D35" s="8" t="s">
        <v>85</v>
      </c>
      <c r="E35" s="29">
        <f t="shared" si="0"/>
        <v>46356</v>
      </c>
      <c r="F35" s="29">
        <f t="shared" si="1"/>
        <v>46351</v>
      </c>
      <c r="G35" s="29">
        <f t="shared" si="2"/>
        <v>46336</v>
      </c>
      <c r="H35" s="29">
        <f t="shared" si="3"/>
        <v>46331</v>
      </c>
      <c r="I35" s="29">
        <f t="shared" si="4"/>
        <v>46301</v>
      </c>
      <c r="J35" s="29">
        <f t="shared" si="5"/>
        <v>46363</v>
      </c>
      <c r="K35" s="7" t="str">
        <f t="shared" ca="1" si="6"/>
        <v>⚠ Amont à lancer</v>
      </c>
      <c r="M35" s="7" t="str">
        <f t="shared" si="9"/>
        <v/>
      </c>
      <c r="N35" s="7" t="str">
        <f t="shared" si="9"/>
        <v/>
      </c>
      <c r="O35" s="7" t="str">
        <f t="shared" si="9"/>
        <v/>
      </c>
      <c r="P35" s="7" t="str">
        <f t="shared" si="9"/>
        <v>P</v>
      </c>
      <c r="Q35" s="7" t="str">
        <f t="shared" si="9"/>
        <v>C</v>
      </c>
      <c r="R35" s="7" t="str">
        <f t="shared" si="9"/>
        <v/>
      </c>
      <c r="S35" s="7" t="str">
        <f t="shared" si="9"/>
        <v/>
      </c>
      <c r="T35" s="7" t="str">
        <f t="shared" si="9"/>
        <v/>
      </c>
      <c r="U35" s="7" t="str">
        <f t="shared" si="9"/>
        <v/>
      </c>
      <c r="V35" s="7" t="str">
        <f t="shared" si="9"/>
        <v/>
      </c>
      <c r="W35" s="7" t="str">
        <f t="shared" si="9"/>
        <v/>
      </c>
      <c r="X35" s="7" t="str">
        <f t="shared" si="9"/>
        <v/>
      </c>
    </row>
    <row r="36" spans="1:24" ht="15" customHeight="1" x14ac:dyDescent="0.25">
      <c r="A36" s="7">
        <v>19</v>
      </c>
      <c r="B36" s="7">
        <v>1</v>
      </c>
      <c r="C36" s="8" t="s">
        <v>88</v>
      </c>
      <c r="D36" s="8" t="s">
        <v>85</v>
      </c>
      <c r="E36" s="29">
        <f t="shared" si="0"/>
        <v>46359</v>
      </c>
      <c r="F36" s="29">
        <f t="shared" si="1"/>
        <v>46354</v>
      </c>
      <c r="G36" s="29">
        <f t="shared" si="2"/>
        <v>46339</v>
      </c>
      <c r="H36" s="29">
        <f t="shared" si="3"/>
        <v>46334</v>
      </c>
      <c r="I36" s="29">
        <f t="shared" si="4"/>
        <v>46304</v>
      </c>
      <c r="J36" s="29">
        <f t="shared" si="5"/>
        <v>46366</v>
      </c>
      <c r="K36" s="7" t="str">
        <f t="shared" ca="1" si="6"/>
        <v>⚠ Amont à lancer</v>
      </c>
      <c r="M36" s="7" t="str">
        <f t="shared" si="9"/>
        <v/>
      </c>
      <c r="N36" s="7" t="str">
        <f t="shared" si="9"/>
        <v/>
      </c>
      <c r="O36" s="7" t="str">
        <f t="shared" si="9"/>
        <v/>
      </c>
      <c r="P36" s="7" t="str">
        <f t="shared" si="9"/>
        <v>P</v>
      </c>
      <c r="Q36" s="7" t="str">
        <f t="shared" si="9"/>
        <v>P</v>
      </c>
      <c r="R36" s="7" t="str">
        <f t="shared" si="9"/>
        <v>C</v>
      </c>
      <c r="S36" s="7" t="str">
        <f t="shared" si="9"/>
        <v/>
      </c>
      <c r="T36" s="7" t="str">
        <f t="shared" si="9"/>
        <v/>
      </c>
      <c r="U36" s="7" t="str">
        <f t="shared" si="9"/>
        <v/>
      </c>
      <c r="V36" s="7" t="str">
        <f t="shared" si="9"/>
        <v/>
      </c>
      <c r="W36" s="7" t="str">
        <f t="shared" si="9"/>
        <v/>
      </c>
      <c r="X36" s="7" t="str">
        <f t="shared" si="9"/>
        <v/>
      </c>
    </row>
    <row r="37" spans="1:24" ht="15" customHeight="1" x14ac:dyDescent="0.25">
      <c r="A37" s="7">
        <v>20</v>
      </c>
      <c r="B37" s="7">
        <v>1</v>
      </c>
      <c r="C37" s="8" t="s">
        <v>88</v>
      </c>
      <c r="D37" s="8" t="s">
        <v>85</v>
      </c>
      <c r="E37" s="29">
        <f t="shared" si="0"/>
        <v>46362</v>
      </c>
      <c r="F37" s="29">
        <f t="shared" si="1"/>
        <v>46357</v>
      </c>
      <c r="G37" s="29">
        <f t="shared" si="2"/>
        <v>46342</v>
      </c>
      <c r="H37" s="29">
        <f t="shared" si="3"/>
        <v>46337</v>
      </c>
      <c r="I37" s="29">
        <f t="shared" si="4"/>
        <v>46307</v>
      </c>
      <c r="J37" s="29">
        <f t="shared" si="5"/>
        <v>46369</v>
      </c>
      <c r="K37" s="7" t="str">
        <f t="shared" ca="1" si="6"/>
        <v>Bientôt</v>
      </c>
      <c r="M37" s="7" t="str">
        <f t="shared" si="9"/>
        <v/>
      </c>
      <c r="N37" s="7" t="str">
        <f t="shared" si="9"/>
        <v/>
      </c>
      <c r="O37" s="7" t="str">
        <f t="shared" si="9"/>
        <v/>
      </c>
      <c r="P37" s="7" t="str">
        <f t="shared" si="9"/>
        <v>P</v>
      </c>
      <c r="Q37" s="7" t="str">
        <f t="shared" si="9"/>
        <v>P</v>
      </c>
      <c r="R37" s="7" t="str">
        <f t="shared" si="9"/>
        <v>C</v>
      </c>
      <c r="S37" s="7" t="str">
        <f t="shared" si="9"/>
        <v/>
      </c>
      <c r="T37" s="7" t="str">
        <f t="shared" si="9"/>
        <v/>
      </c>
      <c r="U37" s="7" t="str">
        <f t="shared" si="9"/>
        <v/>
      </c>
      <c r="V37" s="7" t="str">
        <f t="shared" si="9"/>
        <v/>
      </c>
      <c r="W37" s="7" t="str">
        <f t="shared" si="9"/>
        <v/>
      </c>
      <c r="X37" s="7" t="str">
        <f t="shared" si="9"/>
        <v/>
      </c>
    </row>
    <row r="38" spans="1:24" ht="15" customHeight="1" x14ac:dyDescent="0.25">
      <c r="A38" s="7">
        <v>21</v>
      </c>
      <c r="B38" s="7">
        <v>1</v>
      </c>
      <c r="C38" s="8" t="s">
        <v>88</v>
      </c>
      <c r="D38" s="8" t="s">
        <v>85</v>
      </c>
      <c r="E38" s="29">
        <f t="shared" si="0"/>
        <v>46365</v>
      </c>
      <c r="F38" s="29">
        <f t="shared" si="1"/>
        <v>46360</v>
      </c>
      <c r="G38" s="29">
        <f t="shared" si="2"/>
        <v>46345</v>
      </c>
      <c r="H38" s="29">
        <f t="shared" si="3"/>
        <v>46340</v>
      </c>
      <c r="I38" s="29">
        <f t="shared" si="4"/>
        <v>46310</v>
      </c>
      <c r="J38" s="29">
        <f t="shared" si="5"/>
        <v>46372</v>
      </c>
      <c r="K38" s="7" t="str">
        <f t="shared" ca="1" si="6"/>
        <v>Bientôt</v>
      </c>
      <c r="M38" s="7" t="str">
        <f t="shared" si="9"/>
        <v/>
      </c>
      <c r="N38" s="7" t="str">
        <f t="shared" si="9"/>
        <v/>
      </c>
      <c r="O38" s="7" t="str">
        <f t="shared" si="9"/>
        <v/>
      </c>
      <c r="P38" s="7" t="str">
        <f t="shared" si="9"/>
        <v>P</v>
      </c>
      <c r="Q38" s="7" t="str">
        <f t="shared" si="9"/>
        <v>P</v>
      </c>
      <c r="R38" s="7" t="str">
        <f t="shared" si="9"/>
        <v>C</v>
      </c>
      <c r="S38" s="7" t="str">
        <f t="shared" si="9"/>
        <v/>
      </c>
      <c r="T38" s="7" t="str">
        <f t="shared" si="9"/>
        <v/>
      </c>
      <c r="U38" s="7" t="str">
        <f t="shared" si="9"/>
        <v/>
      </c>
      <c r="V38" s="7" t="str">
        <f t="shared" si="9"/>
        <v/>
      </c>
      <c r="W38" s="7" t="str">
        <f t="shared" si="9"/>
        <v/>
      </c>
      <c r="X38" s="7" t="str">
        <f t="shared" si="9"/>
        <v/>
      </c>
    </row>
    <row r="39" spans="1:24" ht="15" customHeight="1" x14ac:dyDescent="0.25">
      <c r="A39" s="7">
        <v>22</v>
      </c>
      <c r="B39" s="7">
        <v>1</v>
      </c>
      <c r="C39" s="8" t="s">
        <v>88</v>
      </c>
      <c r="D39" s="8" t="s">
        <v>85</v>
      </c>
      <c r="E39" s="29">
        <f t="shared" si="0"/>
        <v>46368</v>
      </c>
      <c r="F39" s="29">
        <f t="shared" si="1"/>
        <v>46363</v>
      </c>
      <c r="G39" s="29">
        <f t="shared" si="2"/>
        <v>46348</v>
      </c>
      <c r="H39" s="29">
        <f t="shared" si="3"/>
        <v>46343</v>
      </c>
      <c r="I39" s="29">
        <f t="shared" si="4"/>
        <v>46313</v>
      </c>
      <c r="J39" s="29">
        <f t="shared" si="5"/>
        <v>46375</v>
      </c>
      <c r="K39" s="7" t="str">
        <f t="shared" ca="1" si="6"/>
        <v>Bientôt</v>
      </c>
      <c r="M39" s="7" t="str">
        <f t="shared" si="9"/>
        <v/>
      </c>
      <c r="N39" s="7" t="str">
        <f t="shared" si="9"/>
        <v/>
      </c>
      <c r="O39" s="7" t="str">
        <f t="shared" si="9"/>
        <v/>
      </c>
      <c r="P39" s="7" t="str">
        <f t="shared" si="9"/>
        <v>P</v>
      </c>
      <c r="Q39" s="7" t="str">
        <f t="shared" si="9"/>
        <v>P</v>
      </c>
      <c r="R39" s="7" t="str">
        <f t="shared" si="9"/>
        <v>C</v>
      </c>
      <c r="S39" s="7" t="str">
        <f t="shared" si="9"/>
        <v/>
      </c>
      <c r="T39" s="7" t="str">
        <f t="shared" si="9"/>
        <v/>
      </c>
      <c r="U39" s="7" t="str">
        <f t="shared" si="9"/>
        <v/>
      </c>
      <c r="V39" s="7" t="str">
        <f t="shared" si="9"/>
        <v/>
      </c>
      <c r="W39" s="7" t="str">
        <f t="shared" si="9"/>
        <v/>
      </c>
      <c r="X39" s="7" t="str">
        <f t="shared" si="9"/>
        <v/>
      </c>
    </row>
    <row r="40" spans="1:24" ht="15" customHeight="1" x14ac:dyDescent="0.25">
      <c r="A40" s="7">
        <v>23</v>
      </c>
      <c r="B40" s="7">
        <v>1</v>
      </c>
      <c r="C40" s="8" t="s">
        <v>88</v>
      </c>
      <c r="D40" s="8" t="s">
        <v>85</v>
      </c>
      <c r="E40" s="29">
        <f t="shared" ref="E40" si="10">$C$4+ROUND((A40-1)*15/MAX($C$5,1),0)</f>
        <v>46371</v>
      </c>
      <c r="F40" s="29">
        <f t="shared" si="1"/>
        <v>46366</v>
      </c>
      <c r="G40" s="29">
        <f t="shared" si="2"/>
        <v>46351</v>
      </c>
      <c r="H40" s="29">
        <f t="shared" si="3"/>
        <v>46346</v>
      </c>
      <c r="I40" s="29">
        <f t="shared" si="4"/>
        <v>46316</v>
      </c>
      <c r="J40" s="29">
        <f t="shared" ref="J40" si="11">E40+$C$12</f>
        <v>46378</v>
      </c>
      <c r="K40" s="7" t="str">
        <f t="shared" ref="K40" ca="1" si="12">IF(I40&lt;$C$14,"⚠ Amont à lancer",IF(I40&lt;$C$14+30,"Bientôt","OK"))</f>
        <v>Bientôt</v>
      </c>
      <c r="M40" s="7" t="str">
        <f t="shared" si="9"/>
        <v/>
      </c>
      <c r="N40" s="7" t="str">
        <f t="shared" si="9"/>
        <v/>
      </c>
      <c r="O40" s="7" t="str">
        <f t="shared" si="9"/>
        <v/>
      </c>
      <c r="P40" s="7" t="str">
        <f t="shared" si="9"/>
        <v>P</v>
      </c>
      <c r="Q40" s="7" t="str">
        <f t="shared" si="9"/>
        <v>P</v>
      </c>
      <c r="R40" s="7" t="str">
        <f t="shared" si="9"/>
        <v>C</v>
      </c>
      <c r="S40" s="7" t="str">
        <f t="shared" si="9"/>
        <v/>
      </c>
      <c r="T40" s="7" t="str">
        <f t="shared" si="9"/>
        <v/>
      </c>
      <c r="U40" s="7" t="str">
        <f t="shared" si="9"/>
        <v/>
      </c>
      <c r="V40" s="7" t="str">
        <f t="shared" si="9"/>
        <v/>
      </c>
      <c r="W40" s="7" t="str">
        <f t="shared" si="9"/>
        <v/>
      </c>
      <c r="X40" s="7" t="str">
        <f t="shared" si="9"/>
        <v/>
      </c>
    </row>
    <row r="41" spans="1:24" ht="15" customHeight="1" x14ac:dyDescent="0.25">
      <c r="A41" s="7">
        <v>24</v>
      </c>
      <c r="B41" s="7">
        <v>1</v>
      </c>
      <c r="C41" s="8" t="s">
        <v>88</v>
      </c>
      <c r="D41" s="8" t="s">
        <v>85</v>
      </c>
      <c r="E41" s="29">
        <f t="shared" si="0"/>
        <v>46374</v>
      </c>
      <c r="F41" s="29">
        <f t="shared" si="1"/>
        <v>46369</v>
      </c>
      <c r="G41" s="29">
        <f t="shared" si="2"/>
        <v>46354</v>
      </c>
      <c r="H41" s="29">
        <f t="shared" si="3"/>
        <v>46349</v>
      </c>
      <c r="I41" s="29">
        <f t="shared" si="4"/>
        <v>46319</v>
      </c>
      <c r="J41" s="29">
        <f t="shared" si="5"/>
        <v>46381</v>
      </c>
      <c r="K41" s="7" t="str">
        <f t="shared" ca="1" si="6"/>
        <v>Bientôt</v>
      </c>
      <c r="M41" s="7" t="str">
        <f t="shared" si="9"/>
        <v/>
      </c>
      <c r="N41" s="7" t="str">
        <f t="shared" si="9"/>
        <v/>
      </c>
      <c r="O41" s="7" t="str">
        <f t="shared" si="9"/>
        <v/>
      </c>
      <c r="P41" s="7" t="str">
        <f t="shared" si="9"/>
        <v>P</v>
      </c>
      <c r="Q41" s="7" t="str">
        <f t="shared" si="9"/>
        <v>P</v>
      </c>
      <c r="R41" s="7" t="str">
        <f t="shared" si="9"/>
        <v>C</v>
      </c>
      <c r="S41" s="7" t="str">
        <f t="shared" si="9"/>
        <v/>
      </c>
      <c r="T41" s="7" t="str">
        <f t="shared" si="9"/>
        <v/>
      </c>
      <c r="U41" s="7" t="str">
        <f t="shared" si="9"/>
        <v/>
      </c>
      <c r="V41" s="7" t="str">
        <f t="shared" si="9"/>
        <v/>
      </c>
      <c r="W41" s="7" t="str">
        <f t="shared" si="9"/>
        <v/>
      </c>
      <c r="X41" s="7" t="str">
        <f t="shared" si="9"/>
        <v/>
      </c>
    </row>
    <row r="42" spans="1:24" ht="15" customHeight="1" x14ac:dyDescent="0.25">
      <c r="A42" s="7">
        <v>25</v>
      </c>
      <c r="B42" s="7">
        <v>1</v>
      </c>
      <c r="C42" s="8" t="s">
        <v>88</v>
      </c>
      <c r="D42" s="8" t="s">
        <v>87</v>
      </c>
      <c r="E42" s="29">
        <f t="shared" si="0"/>
        <v>46377</v>
      </c>
      <c r="F42" s="29">
        <f t="shared" si="1"/>
        <v>46372</v>
      </c>
      <c r="G42" s="29">
        <f t="shared" si="2"/>
        <v>46357</v>
      </c>
      <c r="H42" s="29">
        <f t="shared" si="3"/>
        <v>46352</v>
      </c>
      <c r="I42" s="29">
        <f t="shared" si="4"/>
        <v>46322</v>
      </c>
      <c r="J42" s="29">
        <f t="shared" si="5"/>
        <v>46384</v>
      </c>
      <c r="K42" s="7" t="str">
        <f t="shared" ca="1" si="6"/>
        <v>Bientôt</v>
      </c>
      <c r="M42" s="7" t="str">
        <f t="shared" si="9"/>
        <v/>
      </c>
      <c r="N42" s="7" t="str">
        <f t="shared" si="9"/>
        <v/>
      </c>
      <c r="O42" s="7" t="str">
        <f t="shared" si="9"/>
        <v/>
      </c>
      <c r="P42" s="7" t="str">
        <f t="shared" si="9"/>
        <v>P</v>
      </c>
      <c r="Q42" s="7" t="str">
        <f t="shared" si="9"/>
        <v>P</v>
      </c>
      <c r="R42" s="7" t="str">
        <f t="shared" si="9"/>
        <v>C</v>
      </c>
      <c r="S42" s="7" t="str">
        <f t="shared" si="9"/>
        <v/>
      </c>
      <c r="T42" s="7" t="str">
        <f t="shared" si="9"/>
        <v/>
      </c>
      <c r="U42" s="7" t="str">
        <f t="shared" si="9"/>
        <v/>
      </c>
      <c r="V42" s="7" t="str">
        <f t="shared" si="9"/>
        <v/>
      </c>
      <c r="W42" s="7" t="str">
        <f t="shared" si="9"/>
        <v/>
      </c>
      <c r="X42" s="7" t="str">
        <f t="shared" si="9"/>
        <v/>
      </c>
    </row>
    <row r="43" spans="1:24" ht="15" customHeight="1" x14ac:dyDescent="0.25">
      <c r="A43" s="7">
        <v>26</v>
      </c>
      <c r="B43" s="7">
        <v>1</v>
      </c>
      <c r="C43" s="8" t="s">
        <v>89</v>
      </c>
      <c r="D43" s="8" t="s">
        <v>85</v>
      </c>
      <c r="E43" s="29">
        <f t="shared" si="0"/>
        <v>46380</v>
      </c>
      <c r="F43" s="29">
        <f t="shared" si="1"/>
        <v>46375</v>
      </c>
      <c r="G43" s="29">
        <f t="shared" si="2"/>
        <v>46360</v>
      </c>
      <c r="H43" s="29">
        <f t="shared" si="3"/>
        <v>46355</v>
      </c>
      <c r="I43" s="29">
        <f t="shared" si="4"/>
        <v>46325</v>
      </c>
      <c r="J43" s="29">
        <f t="shared" si="5"/>
        <v>46387</v>
      </c>
      <c r="K43" s="7" t="str">
        <f t="shared" ca="1" si="6"/>
        <v>Bientôt</v>
      </c>
      <c r="M43" s="7" t="str">
        <f t="shared" si="9"/>
        <v/>
      </c>
      <c r="N43" s="7" t="str">
        <f t="shared" si="9"/>
        <v/>
      </c>
      <c r="O43" s="7" t="str">
        <f t="shared" si="9"/>
        <v/>
      </c>
      <c r="P43" s="7" t="str">
        <f t="shared" si="9"/>
        <v>P</v>
      </c>
      <c r="Q43" s="7" t="str">
        <f t="shared" si="9"/>
        <v>P</v>
      </c>
      <c r="R43" s="7" t="str">
        <f t="shared" si="9"/>
        <v>C</v>
      </c>
      <c r="S43" s="7" t="str">
        <f t="shared" si="9"/>
        <v/>
      </c>
      <c r="T43" s="7" t="str">
        <f t="shared" si="9"/>
        <v/>
      </c>
      <c r="U43" s="7" t="str">
        <f t="shared" si="9"/>
        <v/>
      </c>
      <c r="V43" s="7" t="str">
        <f t="shared" si="9"/>
        <v/>
      </c>
      <c r="W43" s="7" t="str">
        <f t="shared" si="9"/>
        <v/>
      </c>
      <c r="X43" s="7" t="str">
        <f t="shared" si="9"/>
        <v/>
      </c>
    </row>
    <row r="44" spans="1:24" ht="15" customHeight="1" x14ac:dyDescent="0.25">
      <c r="A44" s="7">
        <v>27</v>
      </c>
      <c r="B44" s="7">
        <v>1</v>
      </c>
      <c r="C44" s="8" t="s">
        <v>89</v>
      </c>
      <c r="D44" s="8" t="s">
        <v>85</v>
      </c>
      <c r="E44" s="29">
        <f t="shared" si="0"/>
        <v>46383</v>
      </c>
      <c r="F44" s="29">
        <f t="shared" si="1"/>
        <v>46378</v>
      </c>
      <c r="G44" s="29">
        <f t="shared" si="2"/>
        <v>46363</v>
      </c>
      <c r="H44" s="29">
        <f t="shared" si="3"/>
        <v>46358</v>
      </c>
      <c r="I44" s="29">
        <f t="shared" si="4"/>
        <v>46328</v>
      </c>
      <c r="J44" s="29">
        <f t="shared" si="5"/>
        <v>46390</v>
      </c>
      <c r="K44" s="7" t="str">
        <f t="shared" ca="1" si="6"/>
        <v>Bientôt</v>
      </c>
      <c r="M44" s="7" t="str">
        <f t="shared" si="9"/>
        <v/>
      </c>
      <c r="N44" s="7" t="str">
        <f t="shared" si="9"/>
        <v/>
      </c>
      <c r="O44" s="7" t="str">
        <f t="shared" si="9"/>
        <v/>
      </c>
      <c r="P44" s="7" t="str">
        <f t="shared" si="9"/>
        <v/>
      </c>
      <c r="Q44" s="7" t="str">
        <f t="shared" si="9"/>
        <v>P</v>
      </c>
      <c r="R44" s="7" t="str">
        <f t="shared" si="9"/>
        <v>C</v>
      </c>
      <c r="S44" s="7" t="str">
        <f t="shared" si="9"/>
        <v/>
      </c>
      <c r="T44" s="7" t="str">
        <f t="shared" si="9"/>
        <v/>
      </c>
      <c r="U44" s="7" t="str">
        <f t="shared" si="9"/>
        <v/>
      </c>
      <c r="V44" s="7" t="str">
        <f t="shared" si="9"/>
        <v/>
      </c>
      <c r="W44" s="7" t="str">
        <f t="shared" si="9"/>
        <v/>
      </c>
      <c r="X44" s="7" t="str">
        <f t="shared" si="9"/>
        <v/>
      </c>
    </row>
    <row r="45" spans="1:24" ht="15" customHeight="1" x14ac:dyDescent="0.25">
      <c r="A45" s="7">
        <v>28</v>
      </c>
      <c r="B45" s="7">
        <v>1</v>
      </c>
      <c r="C45" s="8" t="s">
        <v>89</v>
      </c>
      <c r="D45" s="8" t="s">
        <v>87</v>
      </c>
      <c r="E45" s="29">
        <f t="shared" si="0"/>
        <v>46386</v>
      </c>
      <c r="F45" s="29">
        <f t="shared" si="1"/>
        <v>46381</v>
      </c>
      <c r="G45" s="29">
        <f t="shared" si="2"/>
        <v>46366</v>
      </c>
      <c r="H45" s="29">
        <f t="shared" si="3"/>
        <v>46361</v>
      </c>
      <c r="I45" s="29">
        <f t="shared" si="4"/>
        <v>46331</v>
      </c>
      <c r="J45" s="29">
        <f t="shared" si="5"/>
        <v>46393</v>
      </c>
      <c r="K45" s="7" t="str">
        <f t="shared" ca="1" si="6"/>
        <v>Bientôt</v>
      </c>
      <c r="M45" s="7" t="str">
        <f t="shared" si="9"/>
        <v/>
      </c>
      <c r="N45" s="7" t="str">
        <f t="shared" si="9"/>
        <v/>
      </c>
      <c r="O45" s="7" t="str">
        <f t="shared" si="9"/>
        <v/>
      </c>
      <c r="P45" s="7" t="str">
        <f t="shared" si="9"/>
        <v/>
      </c>
      <c r="Q45" s="7" t="str">
        <f t="shared" si="9"/>
        <v>P</v>
      </c>
      <c r="R45" s="7" t="str">
        <f t="shared" si="9"/>
        <v>C</v>
      </c>
      <c r="S45" s="7" t="str">
        <f t="shared" si="9"/>
        <v/>
      </c>
      <c r="T45" s="7" t="str">
        <f t="shared" si="9"/>
        <v/>
      </c>
      <c r="U45" s="7" t="str">
        <f t="shared" si="9"/>
        <v/>
      </c>
      <c r="V45" s="7" t="str">
        <f t="shared" si="9"/>
        <v/>
      </c>
      <c r="W45" s="7" t="str">
        <f t="shared" si="9"/>
        <v/>
      </c>
      <c r="X45" s="7" t="str">
        <f t="shared" si="9"/>
        <v/>
      </c>
    </row>
    <row r="46" spans="1:24" ht="15" customHeight="1" x14ac:dyDescent="0.25">
      <c r="A46" s="7">
        <v>29</v>
      </c>
      <c r="B46" s="7">
        <v>1</v>
      </c>
      <c r="C46" s="8" t="s">
        <v>90</v>
      </c>
      <c r="D46" s="8" t="s">
        <v>85</v>
      </c>
      <c r="E46" s="29">
        <f t="shared" si="0"/>
        <v>46389</v>
      </c>
      <c r="F46" s="29">
        <f t="shared" si="1"/>
        <v>46384</v>
      </c>
      <c r="G46" s="29">
        <f t="shared" si="2"/>
        <v>46369</v>
      </c>
      <c r="H46" s="29">
        <f t="shared" si="3"/>
        <v>46364</v>
      </c>
      <c r="I46" s="29">
        <f t="shared" si="4"/>
        <v>46334</v>
      </c>
      <c r="J46" s="29">
        <f t="shared" si="5"/>
        <v>46396</v>
      </c>
      <c r="K46" s="7" t="str">
        <f t="shared" ca="1" si="6"/>
        <v>Bientôt</v>
      </c>
      <c r="M46" s="7" t="str">
        <f t="shared" si="9"/>
        <v/>
      </c>
      <c r="N46" s="7" t="str">
        <f t="shared" si="9"/>
        <v/>
      </c>
      <c r="O46" s="7" t="str">
        <f t="shared" si="9"/>
        <v/>
      </c>
      <c r="P46" s="7" t="str">
        <f t="shared" si="9"/>
        <v/>
      </c>
      <c r="Q46" s="7" t="str">
        <f t="shared" si="9"/>
        <v>P</v>
      </c>
      <c r="R46" s="7" t="str">
        <f t="shared" si="9"/>
        <v>P</v>
      </c>
      <c r="S46" s="7" t="str">
        <f t="shared" si="9"/>
        <v>C</v>
      </c>
      <c r="T46" s="7" t="str">
        <f t="shared" si="9"/>
        <v/>
      </c>
      <c r="U46" s="7" t="str">
        <f t="shared" si="9"/>
        <v/>
      </c>
      <c r="V46" s="7" t="str">
        <f t="shared" si="9"/>
        <v/>
      </c>
      <c r="W46" s="7" t="str">
        <f t="shared" si="9"/>
        <v/>
      </c>
      <c r="X46" s="7" t="str">
        <f t="shared" si="9"/>
        <v/>
      </c>
    </row>
    <row r="47" spans="1:24" ht="15" customHeight="1" x14ac:dyDescent="0.25">
      <c r="A47" s="7">
        <v>30</v>
      </c>
      <c r="B47" s="7">
        <v>1</v>
      </c>
      <c r="C47" s="8" t="s">
        <v>90</v>
      </c>
      <c r="D47" s="8" t="s">
        <v>85</v>
      </c>
      <c r="E47" s="29">
        <f t="shared" si="0"/>
        <v>46392</v>
      </c>
      <c r="F47" s="29">
        <f t="shared" si="1"/>
        <v>46387</v>
      </c>
      <c r="G47" s="29">
        <f t="shared" si="2"/>
        <v>46372</v>
      </c>
      <c r="H47" s="29">
        <f t="shared" si="3"/>
        <v>46367</v>
      </c>
      <c r="I47" s="29">
        <f t="shared" si="4"/>
        <v>46337</v>
      </c>
      <c r="J47" s="29">
        <f t="shared" si="5"/>
        <v>46399</v>
      </c>
      <c r="K47" s="7" t="str">
        <f t="shared" ca="1" si="6"/>
        <v>OK</v>
      </c>
      <c r="M47" s="7" t="str">
        <f t="shared" si="9"/>
        <v/>
      </c>
      <c r="N47" s="7" t="str">
        <f t="shared" si="9"/>
        <v/>
      </c>
      <c r="O47" s="7" t="str">
        <f t="shared" si="9"/>
        <v/>
      </c>
      <c r="P47" s="7" t="str">
        <f t="shared" si="9"/>
        <v/>
      </c>
      <c r="Q47" s="7" t="str">
        <f t="shared" si="9"/>
        <v>P</v>
      </c>
      <c r="R47" s="7" t="str">
        <f t="shared" si="9"/>
        <v>P</v>
      </c>
      <c r="S47" s="7" t="str">
        <f t="shared" si="9"/>
        <v>C</v>
      </c>
      <c r="T47" s="7" t="str">
        <f t="shared" si="9"/>
        <v/>
      </c>
      <c r="U47" s="7" t="str">
        <f t="shared" si="9"/>
        <v/>
      </c>
      <c r="V47" s="7" t="str">
        <f t="shared" si="9"/>
        <v/>
      </c>
      <c r="W47" s="7" t="str">
        <f t="shared" si="9"/>
        <v/>
      </c>
      <c r="X47" s="7" t="str">
        <f t="shared" si="9"/>
        <v/>
      </c>
    </row>
    <row r="48" spans="1:24" ht="15" customHeight="1" x14ac:dyDescent="0.25">
      <c r="A48" s="7">
        <v>31</v>
      </c>
      <c r="B48" s="7">
        <v>1</v>
      </c>
      <c r="C48" s="8" t="s">
        <v>90</v>
      </c>
      <c r="D48" s="8" t="s">
        <v>85</v>
      </c>
      <c r="E48" s="29">
        <f t="shared" si="0"/>
        <v>46395</v>
      </c>
      <c r="F48" s="29">
        <f t="shared" si="1"/>
        <v>46390</v>
      </c>
      <c r="G48" s="29">
        <f t="shared" si="2"/>
        <v>46375</v>
      </c>
      <c r="H48" s="29">
        <f t="shared" si="3"/>
        <v>46370</v>
      </c>
      <c r="I48" s="29">
        <f t="shared" si="4"/>
        <v>46340</v>
      </c>
      <c r="J48" s="29">
        <f t="shared" si="5"/>
        <v>46402</v>
      </c>
      <c r="K48" s="7" t="str">
        <f t="shared" ca="1" si="6"/>
        <v>OK</v>
      </c>
      <c r="M48" s="7" t="str">
        <f t="shared" si="9"/>
        <v/>
      </c>
      <c r="N48" s="7" t="str">
        <f t="shared" si="9"/>
        <v/>
      </c>
      <c r="O48" s="7" t="str">
        <f t="shared" si="9"/>
        <v/>
      </c>
      <c r="P48" s="7" t="str">
        <f t="shared" si="9"/>
        <v/>
      </c>
      <c r="Q48" s="7" t="str">
        <f t="shared" si="9"/>
        <v>P</v>
      </c>
      <c r="R48" s="7" t="str">
        <f t="shared" si="9"/>
        <v>P</v>
      </c>
      <c r="S48" s="7" t="str">
        <f t="shared" si="9"/>
        <v>C</v>
      </c>
      <c r="T48" s="7" t="str">
        <f t="shared" si="9"/>
        <v/>
      </c>
      <c r="U48" s="7" t="str">
        <f t="shared" si="9"/>
        <v/>
      </c>
      <c r="V48" s="7" t="str">
        <f t="shared" si="9"/>
        <v/>
      </c>
      <c r="W48" s="7" t="str">
        <f t="shared" si="9"/>
        <v/>
      </c>
      <c r="X48" s="7" t="str">
        <f t="shared" si="9"/>
        <v/>
      </c>
    </row>
    <row r="49" spans="1:24" ht="15" customHeight="1" x14ac:dyDescent="0.25">
      <c r="A49" s="7">
        <v>32</v>
      </c>
      <c r="B49" s="7">
        <v>1</v>
      </c>
      <c r="C49" s="8" t="s">
        <v>90</v>
      </c>
      <c r="D49" s="8" t="s">
        <v>87</v>
      </c>
      <c r="E49" s="29">
        <f t="shared" si="0"/>
        <v>46398</v>
      </c>
      <c r="F49" s="29">
        <f t="shared" si="1"/>
        <v>46393</v>
      </c>
      <c r="G49" s="29">
        <f t="shared" si="2"/>
        <v>46378</v>
      </c>
      <c r="H49" s="29">
        <f t="shared" si="3"/>
        <v>46373</v>
      </c>
      <c r="I49" s="29">
        <f t="shared" si="4"/>
        <v>46343</v>
      </c>
      <c r="J49" s="29">
        <f t="shared" si="5"/>
        <v>46405</v>
      </c>
      <c r="K49" s="7" t="str">
        <f t="shared" ca="1" si="6"/>
        <v>OK</v>
      </c>
      <c r="M49" s="7" t="str">
        <f t="shared" si="9"/>
        <v/>
      </c>
      <c r="N49" s="7" t="str">
        <f t="shared" si="9"/>
        <v/>
      </c>
      <c r="O49" s="7" t="str">
        <f t="shared" si="9"/>
        <v/>
      </c>
      <c r="P49" s="7" t="str">
        <f t="shared" si="9"/>
        <v/>
      </c>
      <c r="Q49" s="7" t="str">
        <f t="shared" si="9"/>
        <v>P</v>
      </c>
      <c r="R49" s="7" t="str">
        <f t="shared" si="9"/>
        <v>P</v>
      </c>
      <c r="S49" s="7" t="str">
        <f t="shared" si="9"/>
        <v>C</v>
      </c>
      <c r="T49" s="7" t="str">
        <f t="shared" si="9"/>
        <v/>
      </c>
      <c r="U49" s="7" t="str">
        <f t="shared" si="9"/>
        <v/>
      </c>
      <c r="V49" s="7" t="str">
        <f t="shared" si="9"/>
        <v/>
      </c>
      <c r="W49" s="7" t="str">
        <f t="shared" si="9"/>
        <v/>
      </c>
      <c r="X49" s="7" t="str">
        <f t="shared" si="9"/>
        <v/>
      </c>
    </row>
    <row r="50" spans="1:24" ht="15" customHeight="1" x14ac:dyDescent="0.25">
      <c r="A50" s="7">
        <v>33</v>
      </c>
      <c r="B50" s="7">
        <v>1</v>
      </c>
      <c r="C50" s="8" t="s">
        <v>90</v>
      </c>
      <c r="D50" s="8" t="s">
        <v>91</v>
      </c>
      <c r="E50" s="29">
        <f t="shared" ref="E50:E81" si="13">$C$4+ROUND((A50-1)*15/MAX($C$5,1),0)</f>
        <v>46401</v>
      </c>
      <c r="F50" s="29">
        <f t="shared" ref="F50:F81" si="14">E50-$C$11</f>
        <v>46396</v>
      </c>
      <c r="G50" s="29">
        <f t="shared" ref="G50:G81" si="15">F50-$C$10</f>
        <v>46381</v>
      </c>
      <c r="H50" s="29">
        <f t="shared" ref="H50:H81" si="16">G50-$C$9</f>
        <v>46376</v>
      </c>
      <c r="I50" s="29">
        <f t="shared" ref="I50:I81" si="17">H50-$C$8</f>
        <v>46346</v>
      </c>
      <c r="J50" s="29">
        <f t="shared" ref="J50:J81" si="18">E50+$C$12</f>
        <v>46408</v>
      </c>
      <c r="K50" s="7" t="str">
        <f t="shared" ref="K50:K81" ca="1" si="19">IF(I50&lt;$C$14,"⚠ Amont à lancer",IF(I50&lt;$C$14+30,"Bientôt","OK"))</f>
        <v>OK</v>
      </c>
      <c r="M50" s="7" t="str">
        <f t="shared" si="9"/>
        <v/>
      </c>
      <c r="N50" s="7" t="str">
        <f t="shared" si="9"/>
        <v/>
      </c>
      <c r="O50" s="7" t="str">
        <f t="shared" si="9"/>
        <v/>
      </c>
      <c r="P50" s="7" t="str">
        <f t="shared" si="9"/>
        <v/>
      </c>
      <c r="Q50" s="7" t="str">
        <f t="shared" si="9"/>
        <v>P</v>
      </c>
      <c r="R50" s="7" t="str">
        <f t="shared" si="9"/>
        <v>P</v>
      </c>
      <c r="S50" s="7" t="str">
        <f t="shared" si="9"/>
        <v>C</v>
      </c>
      <c r="T50" s="7" t="str">
        <f t="shared" si="9"/>
        <v/>
      </c>
      <c r="U50" s="7" t="str">
        <f t="shared" si="9"/>
        <v/>
      </c>
      <c r="V50" s="7" t="str">
        <f t="shared" si="9"/>
        <v/>
      </c>
      <c r="W50" s="7" t="str">
        <f t="shared" si="9"/>
        <v/>
      </c>
      <c r="X50" s="7" t="str">
        <f t="shared" si="9"/>
        <v/>
      </c>
    </row>
    <row r="51" spans="1:24" ht="15" customHeight="1" x14ac:dyDescent="0.25">
      <c r="A51" s="7">
        <v>34</v>
      </c>
      <c r="B51" s="7">
        <v>1</v>
      </c>
      <c r="C51" s="8" t="s">
        <v>92</v>
      </c>
      <c r="D51" s="8" t="s">
        <v>85</v>
      </c>
      <c r="E51" s="29">
        <f t="shared" si="13"/>
        <v>46404</v>
      </c>
      <c r="F51" s="29">
        <f t="shared" si="14"/>
        <v>46399</v>
      </c>
      <c r="G51" s="29">
        <f t="shared" si="15"/>
        <v>46384</v>
      </c>
      <c r="H51" s="29">
        <f t="shared" si="16"/>
        <v>46379</v>
      </c>
      <c r="I51" s="29">
        <f t="shared" si="17"/>
        <v>46349</v>
      </c>
      <c r="J51" s="29">
        <f t="shared" si="18"/>
        <v>46411</v>
      </c>
      <c r="K51" s="7" t="str">
        <f t="shared" ca="1" si="19"/>
        <v>OK</v>
      </c>
      <c r="M51" s="7" t="str">
        <f t="shared" si="9"/>
        <v/>
      </c>
      <c r="N51" s="7" t="str">
        <f t="shared" si="9"/>
        <v/>
      </c>
      <c r="O51" s="7" t="str">
        <f t="shared" si="9"/>
        <v/>
      </c>
      <c r="P51" s="7" t="str">
        <f t="shared" si="9"/>
        <v/>
      </c>
      <c r="Q51" s="7" t="str">
        <f t="shared" si="9"/>
        <v>P</v>
      </c>
      <c r="R51" s="7" t="str">
        <f t="shared" si="9"/>
        <v>P</v>
      </c>
      <c r="S51" s="7" t="str">
        <f t="shared" si="9"/>
        <v>C</v>
      </c>
      <c r="T51" s="7" t="str">
        <f t="shared" si="9"/>
        <v/>
      </c>
      <c r="U51" s="7" t="str">
        <f t="shared" si="9"/>
        <v/>
      </c>
      <c r="V51" s="7" t="str">
        <f t="shared" si="9"/>
        <v/>
      </c>
      <c r="W51" s="7" t="str">
        <f t="shared" si="9"/>
        <v/>
      </c>
      <c r="X51" s="7" t="str">
        <f t="shared" si="9"/>
        <v/>
      </c>
    </row>
    <row r="52" spans="1:24" ht="15" customHeight="1" x14ac:dyDescent="0.25">
      <c r="A52" s="7">
        <v>35</v>
      </c>
      <c r="B52" s="7">
        <v>1</v>
      </c>
      <c r="C52" s="8" t="s">
        <v>92</v>
      </c>
      <c r="D52" s="8" t="s">
        <v>85</v>
      </c>
      <c r="E52" s="29">
        <f t="shared" si="13"/>
        <v>46407</v>
      </c>
      <c r="F52" s="29">
        <f t="shared" si="14"/>
        <v>46402</v>
      </c>
      <c r="G52" s="29">
        <f t="shared" si="15"/>
        <v>46387</v>
      </c>
      <c r="H52" s="29">
        <f t="shared" si="16"/>
        <v>46382</v>
      </c>
      <c r="I52" s="29">
        <f t="shared" si="17"/>
        <v>46352</v>
      </c>
      <c r="J52" s="29">
        <f t="shared" si="18"/>
        <v>46414</v>
      </c>
      <c r="K52" s="7" t="str">
        <f t="shared" ca="1" si="19"/>
        <v>OK</v>
      </c>
      <c r="M52" s="7" t="str">
        <f t="shared" si="9"/>
        <v/>
      </c>
      <c r="N52" s="7" t="str">
        <f t="shared" si="9"/>
        <v/>
      </c>
      <c r="O52" s="7" t="str">
        <f t="shared" si="9"/>
        <v/>
      </c>
      <c r="P52" s="7" t="str">
        <f t="shared" si="9"/>
        <v/>
      </c>
      <c r="Q52" s="7" t="str">
        <f t="shared" si="9"/>
        <v>P</v>
      </c>
      <c r="R52" s="7" t="str">
        <f t="shared" si="9"/>
        <v>P</v>
      </c>
      <c r="S52" s="7" t="str">
        <f t="shared" si="9"/>
        <v>C</v>
      </c>
      <c r="T52" s="7" t="str">
        <f t="shared" si="9"/>
        <v/>
      </c>
      <c r="U52" s="7" t="str">
        <f t="shared" si="9"/>
        <v/>
      </c>
      <c r="V52" s="7" t="str">
        <f t="shared" si="9"/>
        <v/>
      </c>
      <c r="W52" s="7" t="str">
        <f t="shared" si="9"/>
        <v/>
      </c>
      <c r="X52" s="7" t="str">
        <f t="shared" si="9"/>
        <v/>
      </c>
    </row>
    <row r="53" spans="1:24" ht="15" customHeight="1" x14ac:dyDescent="0.25">
      <c r="A53" s="7">
        <v>36</v>
      </c>
      <c r="B53" s="7">
        <v>1</v>
      </c>
      <c r="C53" s="8" t="s">
        <v>92</v>
      </c>
      <c r="D53" s="8" t="s">
        <v>85</v>
      </c>
      <c r="E53" s="29">
        <f t="shared" si="13"/>
        <v>46410</v>
      </c>
      <c r="F53" s="29">
        <f t="shared" si="14"/>
        <v>46405</v>
      </c>
      <c r="G53" s="29">
        <f t="shared" si="15"/>
        <v>46390</v>
      </c>
      <c r="H53" s="29">
        <f t="shared" si="16"/>
        <v>46385</v>
      </c>
      <c r="I53" s="29">
        <f t="shared" si="17"/>
        <v>46355</v>
      </c>
      <c r="J53" s="29">
        <f t="shared" si="18"/>
        <v>46417</v>
      </c>
      <c r="K53" s="7" t="str">
        <f t="shared" ca="1" si="19"/>
        <v>OK</v>
      </c>
      <c r="M53" s="7" t="str">
        <f t="shared" si="9"/>
        <v/>
      </c>
      <c r="N53" s="7" t="str">
        <f t="shared" si="9"/>
        <v/>
      </c>
      <c r="O53" s="7" t="str">
        <f t="shared" si="9"/>
        <v/>
      </c>
      <c r="P53" s="7" t="str">
        <f t="shared" si="9"/>
        <v/>
      </c>
      <c r="Q53" s="7" t="str">
        <f t="shared" si="9"/>
        <v>P</v>
      </c>
      <c r="R53" s="7" t="str">
        <f t="shared" si="9"/>
        <v>P</v>
      </c>
      <c r="S53" s="7" t="str">
        <f t="shared" si="9"/>
        <v>C</v>
      </c>
      <c r="T53" s="7" t="str">
        <f t="shared" si="9"/>
        <v/>
      </c>
      <c r="U53" s="7" t="str">
        <f t="shared" si="9"/>
        <v/>
      </c>
      <c r="V53" s="7" t="str">
        <f t="shared" si="9"/>
        <v/>
      </c>
      <c r="W53" s="7" t="str">
        <f t="shared" si="9"/>
        <v/>
      </c>
      <c r="X53" s="7" t="str">
        <f t="shared" si="9"/>
        <v/>
      </c>
    </row>
    <row r="54" spans="1:24" ht="15" customHeight="1" x14ac:dyDescent="0.25">
      <c r="A54" s="7">
        <v>37</v>
      </c>
      <c r="B54" s="7">
        <v>1</v>
      </c>
      <c r="C54" s="8" t="s">
        <v>92</v>
      </c>
      <c r="D54" s="8" t="s">
        <v>87</v>
      </c>
      <c r="E54" s="29">
        <f t="shared" si="13"/>
        <v>46413</v>
      </c>
      <c r="F54" s="29">
        <f t="shared" si="14"/>
        <v>46408</v>
      </c>
      <c r="G54" s="29">
        <f t="shared" si="15"/>
        <v>46393</v>
      </c>
      <c r="H54" s="29">
        <f t="shared" si="16"/>
        <v>46388</v>
      </c>
      <c r="I54" s="29">
        <f t="shared" si="17"/>
        <v>46358</v>
      </c>
      <c r="J54" s="29">
        <f t="shared" si="18"/>
        <v>46420</v>
      </c>
      <c r="K54" s="7" t="str">
        <f t="shared" ca="1" si="19"/>
        <v>OK</v>
      </c>
      <c r="M54" s="7" t="str">
        <f t="shared" si="9"/>
        <v/>
      </c>
      <c r="N54" s="7" t="str">
        <f t="shared" si="9"/>
        <v/>
      </c>
      <c r="O54" s="7" t="str">
        <f t="shared" si="9"/>
        <v/>
      </c>
      <c r="P54" s="7" t="str">
        <f t="shared" si="9"/>
        <v/>
      </c>
      <c r="Q54" s="7" t="str">
        <f t="shared" si="9"/>
        <v/>
      </c>
      <c r="R54" s="7" t="str">
        <f t="shared" si="9"/>
        <v>P</v>
      </c>
      <c r="S54" s="7" t="str">
        <f t="shared" si="9"/>
        <v>C</v>
      </c>
      <c r="T54" s="7" t="str">
        <f t="shared" si="9"/>
        <v/>
      </c>
      <c r="U54" s="7" t="str">
        <f t="shared" si="9"/>
        <v/>
      </c>
      <c r="V54" s="7" t="str">
        <f t="shared" si="9"/>
        <v/>
      </c>
      <c r="W54" s="7" t="str">
        <f t="shared" si="9"/>
        <v/>
      </c>
      <c r="X54" s="7" t="str">
        <f t="shared" si="9"/>
        <v/>
      </c>
    </row>
    <row r="55" spans="1:24" ht="15" customHeight="1" x14ac:dyDescent="0.25">
      <c r="A55" s="7">
        <v>38</v>
      </c>
      <c r="B55" s="7">
        <v>2</v>
      </c>
      <c r="C55" s="8" t="s">
        <v>93</v>
      </c>
      <c r="D55" s="8" t="s">
        <v>85</v>
      </c>
      <c r="E55" s="29">
        <f t="shared" si="13"/>
        <v>46416</v>
      </c>
      <c r="F55" s="29">
        <f t="shared" si="14"/>
        <v>46411</v>
      </c>
      <c r="G55" s="29">
        <f t="shared" si="15"/>
        <v>46396</v>
      </c>
      <c r="H55" s="29">
        <f t="shared" si="16"/>
        <v>46391</v>
      </c>
      <c r="I55" s="29">
        <f t="shared" si="17"/>
        <v>46361</v>
      </c>
      <c r="J55" s="29">
        <f t="shared" si="18"/>
        <v>46423</v>
      </c>
      <c r="K55" s="7" t="str">
        <f t="shared" ca="1" si="19"/>
        <v>OK</v>
      </c>
      <c r="M55" s="7" t="str">
        <f t="shared" si="9"/>
        <v/>
      </c>
      <c r="N55" s="7" t="str">
        <f t="shared" si="9"/>
        <v/>
      </c>
      <c r="O55" s="7" t="str">
        <f t="shared" si="9"/>
        <v/>
      </c>
      <c r="P55" s="7" t="str">
        <f t="shared" ref="P55:X83" si="20">IF(AND($E55&gt;=P$17,$E55&lt;EDATE(P$17,1)),"C",IF(AND(EDATE(P$17,1)&gt;$I55,P$17&lt;$E55),"P",""))</f>
        <v/>
      </c>
      <c r="Q55" s="7" t="str">
        <f t="shared" si="20"/>
        <v/>
      </c>
      <c r="R55" s="7" t="str">
        <f t="shared" si="20"/>
        <v>P</v>
      </c>
      <c r="S55" s="7" t="str">
        <f t="shared" si="20"/>
        <v>C</v>
      </c>
      <c r="T55" s="7" t="str">
        <f t="shared" si="20"/>
        <v/>
      </c>
      <c r="U55" s="7" t="str">
        <f t="shared" si="20"/>
        <v/>
      </c>
      <c r="V55" s="7" t="str">
        <f t="shared" si="20"/>
        <v/>
      </c>
      <c r="W55" s="7" t="str">
        <f t="shared" si="20"/>
        <v/>
      </c>
      <c r="X55" s="7" t="str">
        <f t="shared" si="20"/>
        <v/>
      </c>
    </row>
    <row r="56" spans="1:24" ht="15" customHeight="1" x14ac:dyDescent="0.25">
      <c r="A56" s="7">
        <v>39</v>
      </c>
      <c r="B56" s="7">
        <v>2</v>
      </c>
      <c r="C56" s="8" t="s">
        <v>93</v>
      </c>
      <c r="D56" s="8" t="s">
        <v>85</v>
      </c>
      <c r="E56" s="29">
        <f t="shared" si="13"/>
        <v>46419</v>
      </c>
      <c r="F56" s="29">
        <f t="shared" si="14"/>
        <v>46414</v>
      </c>
      <c r="G56" s="29">
        <f t="shared" si="15"/>
        <v>46399</v>
      </c>
      <c r="H56" s="29">
        <f t="shared" si="16"/>
        <v>46394</v>
      </c>
      <c r="I56" s="29">
        <f t="shared" si="17"/>
        <v>46364</v>
      </c>
      <c r="J56" s="29">
        <f t="shared" si="18"/>
        <v>46426</v>
      </c>
      <c r="K56" s="7" t="str">
        <f t="shared" ca="1" si="19"/>
        <v>OK</v>
      </c>
      <c r="M56" s="7" t="str">
        <f t="shared" ref="M56:R112" si="21">IF(AND($E56&gt;=M$17,$E56&lt;EDATE(M$17,1)),"C",IF(AND(EDATE(M$17,1)&gt;$I56,M$17&lt;$E56),"P",""))</f>
        <v/>
      </c>
      <c r="N56" s="7" t="str">
        <f t="shared" si="21"/>
        <v/>
      </c>
      <c r="O56" s="7" t="str">
        <f t="shared" si="21"/>
        <v/>
      </c>
      <c r="P56" s="7" t="str">
        <f t="shared" si="20"/>
        <v/>
      </c>
      <c r="Q56" s="7" t="str">
        <f t="shared" si="20"/>
        <v/>
      </c>
      <c r="R56" s="7" t="str">
        <f t="shared" si="20"/>
        <v>P</v>
      </c>
      <c r="S56" s="7" t="str">
        <f t="shared" si="20"/>
        <v>P</v>
      </c>
      <c r="T56" s="7" t="str">
        <f t="shared" si="20"/>
        <v>C</v>
      </c>
      <c r="U56" s="7" t="str">
        <f t="shared" si="20"/>
        <v/>
      </c>
      <c r="V56" s="7" t="str">
        <f t="shared" si="20"/>
        <v/>
      </c>
      <c r="W56" s="7" t="str">
        <f t="shared" si="20"/>
        <v/>
      </c>
      <c r="X56" s="7" t="str">
        <f t="shared" si="20"/>
        <v/>
      </c>
    </row>
    <row r="57" spans="1:24" ht="15" customHeight="1" x14ac:dyDescent="0.25">
      <c r="A57" s="7">
        <v>40</v>
      </c>
      <c r="B57" s="7">
        <v>2</v>
      </c>
      <c r="C57" s="8" t="s">
        <v>94</v>
      </c>
      <c r="D57" s="8" t="s">
        <v>85</v>
      </c>
      <c r="E57" s="29">
        <f t="shared" si="13"/>
        <v>46422</v>
      </c>
      <c r="F57" s="29">
        <f t="shared" si="14"/>
        <v>46417</v>
      </c>
      <c r="G57" s="29">
        <f t="shared" si="15"/>
        <v>46402</v>
      </c>
      <c r="H57" s="29">
        <f t="shared" si="16"/>
        <v>46397</v>
      </c>
      <c r="I57" s="29">
        <f t="shared" si="17"/>
        <v>46367</v>
      </c>
      <c r="J57" s="29">
        <f t="shared" si="18"/>
        <v>46429</v>
      </c>
      <c r="K57" s="7" t="str">
        <f t="shared" ca="1" si="19"/>
        <v>OK</v>
      </c>
      <c r="M57" s="7" t="str">
        <f t="shared" si="21"/>
        <v/>
      </c>
      <c r="N57" s="7" t="str">
        <f t="shared" si="21"/>
        <v/>
      </c>
      <c r="O57" s="7" t="str">
        <f t="shared" si="21"/>
        <v/>
      </c>
      <c r="P57" s="7" t="str">
        <f t="shared" si="20"/>
        <v/>
      </c>
      <c r="Q57" s="7" t="str">
        <f t="shared" si="20"/>
        <v/>
      </c>
      <c r="R57" s="7" t="str">
        <f t="shared" si="20"/>
        <v>P</v>
      </c>
      <c r="S57" s="7" t="str">
        <f t="shared" si="20"/>
        <v>P</v>
      </c>
      <c r="T57" s="7" t="str">
        <f t="shared" si="20"/>
        <v>C</v>
      </c>
      <c r="U57" s="7" t="str">
        <f t="shared" si="20"/>
        <v/>
      </c>
      <c r="V57" s="7" t="str">
        <f t="shared" si="20"/>
        <v/>
      </c>
      <c r="W57" s="7" t="str">
        <f t="shared" si="20"/>
        <v/>
      </c>
      <c r="X57" s="7" t="str">
        <f t="shared" si="20"/>
        <v/>
      </c>
    </row>
    <row r="58" spans="1:24" ht="15" customHeight="1" x14ac:dyDescent="0.25">
      <c r="A58" s="7">
        <v>41</v>
      </c>
      <c r="B58" s="7">
        <v>2</v>
      </c>
      <c r="C58" s="8" t="s">
        <v>95</v>
      </c>
      <c r="D58" s="8" t="s">
        <v>85</v>
      </c>
      <c r="E58" s="29">
        <f t="shared" si="13"/>
        <v>46425</v>
      </c>
      <c r="F58" s="29">
        <f t="shared" si="14"/>
        <v>46420</v>
      </c>
      <c r="G58" s="29">
        <f t="shared" si="15"/>
        <v>46405</v>
      </c>
      <c r="H58" s="29">
        <f t="shared" si="16"/>
        <v>46400</v>
      </c>
      <c r="I58" s="29">
        <f t="shared" si="17"/>
        <v>46370</v>
      </c>
      <c r="J58" s="29">
        <f t="shared" si="18"/>
        <v>46432</v>
      </c>
      <c r="K58" s="7" t="str">
        <f t="shared" ca="1" si="19"/>
        <v>OK</v>
      </c>
      <c r="M58" s="7" t="str">
        <f t="shared" si="21"/>
        <v/>
      </c>
      <c r="N58" s="7" t="str">
        <f t="shared" si="21"/>
        <v/>
      </c>
      <c r="O58" s="7" t="str">
        <f t="shared" si="21"/>
        <v/>
      </c>
      <c r="P58" s="7" t="str">
        <f t="shared" si="20"/>
        <v/>
      </c>
      <c r="Q58" s="7" t="str">
        <f t="shared" si="20"/>
        <v/>
      </c>
      <c r="R58" s="7" t="str">
        <f t="shared" si="20"/>
        <v>P</v>
      </c>
      <c r="S58" s="7" t="str">
        <f t="shared" si="20"/>
        <v>P</v>
      </c>
      <c r="T58" s="7" t="str">
        <f t="shared" si="20"/>
        <v>C</v>
      </c>
      <c r="U58" s="7" t="str">
        <f t="shared" si="20"/>
        <v/>
      </c>
      <c r="V58" s="7" t="str">
        <f t="shared" si="20"/>
        <v/>
      </c>
      <c r="W58" s="7" t="str">
        <f t="shared" si="20"/>
        <v/>
      </c>
      <c r="X58" s="7" t="str">
        <f t="shared" si="20"/>
        <v/>
      </c>
    </row>
    <row r="59" spans="1:24" ht="15" customHeight="1" x14ac:dyDescent="0.25">
      <c r="A59" s="7">
        <v>42</v>
      </c>
      <c r="B59" s="7">
        <v>2</v>
      </c>
      <c r="C59" s="8" t="s">
        <v>95</v>
      </c>
      <c r="D59" s="8" t="s">
        <v>85</v>
      </c>
      <c r="E59" s="29">
        <f t="shared" si="13"/>
        <v>46428</v>
      </c>
      <c r="F59" s="29">
        <f t="shared" si="14"/>
        <v>46423</v>
      </c>
      <c r="G59" s="29">
        <f t="shared" si="15"/>
        <v>46408</v>
      </c>
      <c r="H59" s="29">
        <f t="shared" si="16"/>
        <v>46403</v>
      </c>
      <c r="I59" s="29">
        <f t="shared" si="17"/>
        <v>46373</v>
      </c>
      <c r="J59" s="29">
        <f t="shared" si="18"/>
        <v>46435</v>
      </c>
      <c r="K59" s="7" t="str">
        <f t="shared" ca="1" si="19"/>
        <v>OK</v>
      </c>
      <c r="M59" s="7" t="str">
        <f t="shared" si="21"/>
        <v/>
      </c>
      <c r="N59" s="7" t="str">
        <f t="shared" si="21"/>
        <v/>
      </c>
      <c r="O59" s="7" t="str">
        <f t="shared" si="21"/>
        <v/>
      </c>
      <c r="P59" s="7" t="str">
        <f t="shared" si="20"/>
        <v/>
      </c>
      <c r="Q59" s="7" t="str">
        <f t="shared" si="20"/>
        <v/>
      </c>
      <c r="R59" s="7" t="str">
        <f t="shared" si="20"/>
        <v>P</v>
      </c>
      <c r="S59" s="7" t="str">
        <f t="shared" si="20"/>
        <v>P</v>
      </c>
      <c r="T59" s="7" t="str">
        <f t="shared" si="20"/>
        <v>C</v>
      </c>
      <c r="U59" s="7" t="str">
        <f t="shared" si="20"/>
        <v/>
      </c>
      <c r="V59" s="7" t="str">
        <f t="shared" si="20"/>
        <v/>
      </c>
      <c r="W59" s="7" t="str">
        <f t="shared" si="20"/>
        <v/>
      </c>
      <c r="X59" s="7" t="str">
        <f t="shared" si="20"/>
        <v/>
      </c>
    </row>
    <row r="60" spans="1:24" ht="15" customHeight="1" x14ac:dyDescent="0.25">
      <c r="A60" s="7">
        <v>43</v>
      </c>
      <c r="B60" s="7">
        <v>2</v>
      </c>
      <c r="C60" s="8" t="s">
        <v>95</v>
      </c>
      <c r="D60" s="8" t="s">
        <v>85</v>
      </c>
      <c r="E60" s="29">
        <f t="shared" si="13"/>
        <v>46431</v>
      </c>
      <c r="F60" s="29">
        <f t="shared" si="14"/>
        <v>46426</v>
      </c>
      <c r="G60" s="29">
        <f t="shared" si="15"/>
        <v>46411</v>
      </c>
      <c r="H60" s="29">
        <f t="shared" si="16"/>
        <v>46406</v>
      </c>
      <c r="I60" s="29">
        <f t="shared" si="17"/>
        <v>46376</v>
      </c>
      <c r="J60" s="29">
        <f t="shared" si="18"/>
        <v>46438</v>
      </c>
      <c r="K60" s="7" t="str">
        <f t="shared" ca="1" si="19"/>
        <v>OK</v>
      </c>
      <c r="M60" s="7" t="str">
        <f t="shared" si="21"/>
        <v/>
      </c>
      <c r="N60" s="7" t="str">
        <f t="shared" si="21"/>
        <v/>
      </c>
      <c r="O60" s="7" t="str">
        <f t="shared" si="21"/>
        <v/>
      </c>
      <c r="P60" s="7" t="str">
        <f t="shared" si="20"/>
        <v/>
      </c>
      <c r="Q60" s="7" t="str">
        <f t="shared" si="20"/>
        <v/>
      </c>
      <c r="R60" s="7" t="str">
        <f t="shared" si="20"/>
        <v>P</v>
      </c>
      <c r="S60" s="7" t="str">
        <f t="shared" si="20"/>
        <v>P</v>
      </c>
      <c r="T60" s="7" t="str">
        <f t="shared" si="20"/>
        <v>C</v>
      </c>
      <c r="U60" s="7" t="str">
        <f t="shared" si="20"/>
        <v/>
      </c>
      <c r="V60" s="7" t="str">
        <f t="shared" si="20"/>
        <v/>
      </c>
      <c r="W60" s="7" t="str">
        <f t="shared" si="20"/>
        <v/>
      </c>
      <c r="X60" s="7" t="str">
        <f t="shared" si="20"/>
        <v/>
      </c>
    </row>
    <row r="61" spans="1:24" ht="15" customHeight="1" x14ac:dyDescent="0.25">
      <c r="A61" s="7">
        <v>44</v>
      </c>
      <c r="B61" s="7">
        <v>2</v>
      </c>
      <c r="C61" s="8" t="s">
        <v>95</v>
      </c>
      <c r="D61" s="8" t="s">
        <v>91</v>
      </c>
      <c r="E61" s="29">
        <f t="shared" si="13"/>
        <v>46434</v>
      </c>
      <c r="F61" s="29">
        <f t="shared" si="14"/>
        <v>46429</v>
      </c>
      <c r="G61" s="29">
        <f t="shared" si="15"/>
        <v>46414</v>
      </c>
      <c r="H61" s="29">
        <f t="shared" si="16"/>
        <v>46409</v>
      </c>
      <c r="I61" s="29">
        <f t="shared" si="17"/>
        <v>46379</v>
      </c>
      <c r="J61" s="29">
        <f t="shared" si="18"/>
        <v>46441</v>
      </c>
      <c r="K61" s="7" t="str">
        <f t="shared" ca="1" si="19"/>
        <v>OK</v>
      </c>
      <c r="M61" s="7" t="str">
        <f t="shared" si="21"/>
        <v/>
      </c>
      <c r="N61" s="7" t="str">
        <f t="shared" si="21"/>
        <v/>
      </c>
      <c r="O61" s="7" t="str">
        <f t="shared" si="21"/>
        <v/>
      </c>
      <c r="P61" s="7" t="str">
        <f t="shared" si="20"/>
        <v/>
      </c>
      <c r="Q61" s="7" t="str">
        <f t="shared" si="20"/>
        <v/>
      </c>
      <c r="R61" s="7" t="str">
        <f t="shared" si="20"/>
        <v>P</v>
      </c>
      <c r="S61" s="7" t="str">
        <f t="shared" si="20"/>
        <v>P</v>
      </c>
      <c r="T61" s="7" t="str">
        <f t="shared" si="20"/>
        <v>C</v>
      </c>
      <c r="U61" s="7" t="str">
        <f t="shared" si="20"/>
        <v/>
      </c>
      <c r="V61" s="7" t="str">
        <f t="shared" si="20"/>
        <v/>
      </c>
      <c r="W61" s="7" t="str">
        <f t="shared" si="20"/>
        <v/>
      </c>
      <c r="X61" s="7" t="str">
        <f t="shared" si="20"/>
        <v/>
      </c>
    </row>
    <row r="62" spans="1:24" ht="15" customHeight="1" x14ac:dyDescent="0.25">
      <c r="A62" s="7">
        <v>45</v>
      </c>
      <c r="B62" s="7">
        <v>2</v>
      </c>
      <c r="C62" s="8" t="s">
        <v>95</v>
      </c>
      <c r="D62" s="8" t="s">
        <v>91</v>
      </c>
      <c r="E62" s="29">
        <f t="shared" si="13"/>
        <v>46437</v>
      </c>
      <c r="F62" s="29">
        <f t="shared" si="14"/>
        <v>46432</v>
      </c>
      <c r="G62" s="29">
        <f t="shared" si="15"/>
        <v>46417</v>
      </c>
      <c r="H62" s="29">
        <f t="shared" si="16"/>
        <v>46412</v>
      </c>
      <c r="I62" s="29">
        <f t="shared" si="17"/>
        <v>46382</v>
      </c>
      <c r="J62" s="29">
        <f t="shared" si="18"/>
        <v>46444</v>
      </c>
      <c r="K62" s="7" t="str">
        <f t="shared" ca="1" si="19"/>
        <v>OK</v>
      </c>
      <c r="M62" s="7" t="str">
        <f t="shared" si="21"/>
        <v/>
      </c>
      <c r="N62" s="7" t="str">
        <f t="shared" si="21"/>
        <v/>
      </c>
      <c r="O62" s="7" t="str">
        <f t="shared" si="21"/>
        <v/>
      </c>
      <c r="P62" s="7" t="str">
        <f t="shared" si="20"/>
        <v/>
      </c>
      <c r="Q62" s="7" t="str">
        <f t="shared" si="20"/>
        <v/>
      </c>
      <c r="R62" s="7" t="str">
        <f t="shared" si="20"/>
        <v>P</v>
      </c>
      <c r="S62" s="7" t="str">
        <f t="shared" si="20"/>
        <v>P</v>
      </c>
      <c r="T62" s="7" t="str">
        <f t="shared" si="20"/>
        <v>C</v>
      </c>
      <c r="U62" s="7" t="str">
        <f t="shared" si="20"/>
        <v/>
      </c>
      <c r="V62" s="7" t="str">
        <f t="shared" si="20"/>
        <v/>
      </c>
      <c r="W62" s="7" t="str">
        <f t="shared" si="20"/>
        <v/>
      </c>
      <c r="X62" s="7" t="str">
        <f t="shared" si="20"/>
        <v/>
      </c>
    </row>
    <row r="63" spans="1:24" ht="15" customHeight="1" x14ac:dyDescent="0.25">
      <c r="A63" s="7">
        <v>46</v>
      </c>
      <c r="B63" s="7">
        <v>2</v>
      </c>
      <c r="C63" s="8" t="s">
        <v>96</v>
      </c>
      <c r="D63" s="8" t="s">
        <v>85</v>
      </c>
      <c r="E63" s="29">
        <f t="shared" si="13"/>
        <v>46440</v>
      </c>
      <c r="F63" s="29">
        <f t="shared" si="14"/>
        <v>46435</v>
      </c>
      <c r="G63" s="29">
        <f t="shared" si="15"/>
        <v>46420</v>
      </c>
      <c r="H63" s="29">
        <f t="shared" si="16"/>
        <v>46415</v>
      </c>
      <c r="I63" s="29">
        <f t="shared" si="17"/>
        <v>46385</v>
      </c>
      <c r="J63" s="29">
        <f t="shared" si="18"/>
        <v>46447</v>
      </c>
      <c r="K63" s="7" t="str">
        <f t="shared" ca="1" si="19"/>
        <v>OK</v>
      </c>
      <c r="M63" s="7" t="str">
        <f t="shared" si="21"/>
        <v/>
      </c>
      <c r="N63" s="7" t="str">
        <f t="shared" si="21"/>
        <v/>
      </c>
      <c r="O63" s="7" t="str">
        <f t="shared" si="21"/>
        <v/>
      </c>
      <c r="P63" s="7" t="str">
        <f t="shared" si="20"/>
        <v/>
      </c>
      <c r="Q63" s="7" t="str">
        <f t="shared" si="20"/>
        <v/>
      </c>
      <c r="R63" s="7" t="str">
        <f t="shared" si="20"/>
        <v>P</v>
      </c>
      <c r="S63" s="7" t="str">
        <f t="shared" si="20"/>
        <v>P</v>
      </c>
      <c r="T63" s="7" t="str">
        <f t="shared" si="20"/>
        <v>C</v>
      </c>
      <c r="U63" s="7" t="str">
        <f t="shared" si="20"/>
        <v/>
      </c>
      <c r="V63" s="7" t="str">
        <f t="shared" si="20"/>
        <v/>
      </c>
      <c r="W63" s="7" t="str">
        <f t="shared" si="20"/>
        <v/>
      </c>
      <c r="X63" s="7" t="str">
        <f t="shared" si="20"/>
        <v/>
      </c>
    </row>
    <row r="64" spans="1:24" ht="15" customHeight="1" x14ac:dyDescent="0.25">
      <c r="A64" s="7">
        <v>47</v>
      </c>
      <c r="B64" s="7">
        <v>2</v>
      </c>
      <c r="C64" s="8" t="s">
        <v>96</v>
      </c>
      <c r="D64" s="8" t="s">
        <v>85</v>
      </c>
      <c r="E64" s="29">
        <f t="shared" si="13"/>
        <v>46443</v>
      </c>
      <c r="F64" s="29">
        <f t="shared" si="14"/>
        <v>46438</v>
      </c>
      <c r="G64" s="29">
        <f t="shared" si="15"/>
        <v>46423</v>
      </c>
      <c r="H64" s="29">
        <f t="shared" si="16"/>
        <v>46418</v>
      </c>
      <c r="I64" s="29">
        <f t="shared" si="17"/>
        <v>46388</v>
      </c>
      <c r="J64" s="29">
        <f t="shared" si="18"/>
        <v>46450</v>
      </c>
      <c r="K64" s="7" t="str">
        <f t="shared" ca="1" si="19"/>
        <v>OK</v>
      </c>
      <c r="M64" s="7" t="str">
        <f t="shared" si="21"/>
        <v/>
      </c>
      <c r="N64" s="7" t="str">
        <f t="shared" si="21"/>
        <v/>
      </c>
      <c r="O64" s="7" t="str">
        <f t="shared" si="21"/>
        <v/>
      </c>
      <c r="P64" s="7" t="str">
        <f t="shared" si="20"/>
        <v/>
      </c>
      <c r="Q64" s="7" t="str">
        <f t="shared" si="20"/>
        <v/>
      </c>
      <c r="R64" s="7" t="str">
        <f t="shared" si="20"/>
        <v/>
      </c>
      <c r="S64" s="7" t="str">
        <f t="shared" si="20"/>
        <v>P</v>
      </c>
      <c r="T64" s="7" t="str">
        <f t="shared" si="20"/>
        <v>C</v>
      </c>
      <c r="U64" s="7" t="str">
        <f t="shared" si="20"/>
        <v/>
      </c>
      <c r="V64" s="7" t="str">
        <f t="shared" si="20"/>
        <v/>
      </c>
      <c r="W64" s="7" t="str">
        <f t="shared" si="20"/>
        <v/>
      </c>
      <c r="X64" s="7" t="str">
        <f t="shared" si="20"/>
        <v/>
      </c>
    </row>
    <row r="65" spans="1:24" ht="15" customHeight="1" x14ac:dyDescent="0.25">
      <c r="A65" s="7">
        <v>48</v>
      </c>
      <c r="B65" s="7">
        <v>2</v>
      </c>
      <c r="C65" s="8" t="s">
        <v>96</v>
      </c>
      <c r="D65" s="8" t="s">
        <v>85</v>
      </c>
      <c r="E65" s="29">
        <f t="shared" si="13"/>
        <v>46446</v>
      </c>
      <c r="F65" s="29">
        <f t="shared" si="14"/>
        <v>46441</v>
      </c>
      <c r="G65" s="29">
        <f t="shared" si="15"/>
        <v>46426</v>
      </c>
      <c r="H65" s="29">
        <f t="shared" si="16"/>
        <v>46421</v>
      </c>
      <c r="I65" s="29">
        <f t="shared" si="17"/>
        <v>46391</v>
      </c>
      <c r="J65" s="29">
        <f t="shared" si="18"/>
        <v>46453</v>
      </c>
      <c r="K65" s="7" t="str">
        <f t="shared" ca="1" si="19"/>
        <v>OK</v>
      </c>
      <c r="M65" s="7" t="str">
        <f t="shared" si="21"/>
        <v/>
      </c>
      <c r="N65" s="7" t="str">
        <f t="shared" si="21"/>
        <v/>
      </c>
      <c r="O65" s="7" t="str">
        <f t="shared" si="21"/>
        <v/>
      </c>
      <c r="P65" s="7" t="str">
        <f t="shared" si="20"/>
        <v/>
      </c>
      <c r="Q65" s="7" t="str">
        <f t="shared" si="20"/>
        <v/>
      </c>
      <c r="R65" s="7" t="str">
        <f t="shared" si="20"/>
        <v/>
      </c>
      <c r="S65" s="7" t="str">
        <f t="shared" si="20"/>
        <v>P</v>
      </c>
      <c r="T65" s="7" t="str">
        <f t="shared" si="20"/>
        <v>C</v>
      </c>
      <c r="U65" s="7" t="str">
        <f t="shared" si="20"/>
        <v/>
      </c>
      <c r="V65" s="7" t="str">
        <f t="shared" si="20"/>
        <v/>
      </c>
      <c r="W65" s="7" t="str">
        <f t="shared" si="20"/>
        <v/>
      </c>
      <c r="X65" s="7" t="str">
        <f t="shared" si="20"/>
        <v/>
      </c>
    </row>
    <row r="66" spans="1:24" ht="15" customHeight="1" x14ac:dyDescent="0.25">
      <c r="A66" s="7">
        <v>49</v>
      </c>
      <c r="B66" s="7">
        <v>2</v>
      </c>
      <c r="C66" s="8" t="s">
        <v>97</v>
      </c>
      <c r="D66" s="8" t="s">
        <v>85</v>
      </c>
      <c r="E66" s="29">
        <f t="shared" si="13"/>
        <v>46449</v>
      </c>
      <c r="F66" s="29">
        <f t="shared" si="14"/>
        <v>46444</v>
      </c>
      <c r="G66" s="29">
        <f t="shared" si="15"/>
        <v>46429</v>
      </c>
      <c r="H66" s="29">
        <f t="shared" si="16"/>
        <v>46424</v>
      </c>
      <c r="I66" s="29">
        <f t="shared" si="17"/>
        <v>46394</v>
      </c>
      <c r="J66" s="29">
        <f t="shared" si="18"/>
        <v>46456</v>
      </c>
      <c r="K66" s="7" t="str">
        <f t="shared" ca="1" si="19"/>
        <v>OK</v>
      </c>
      <c r="M66" s="7" t="str">
        <f t="shared" si="21"/>
        <v/>
      </c>
      <c r="N66" s="7" t="str">
        <f t="shared" si="21"/>
        <v/>
      </c>
      <c r="O66" s="7" t="str">
        <f t="shared" si="21"/>
        <v/>
      </c>
      <c r="P66" s="7" t="str">
        <f t="shared" si="20"/>
        <v/>
      </c>
      <c r="Q66" s="7" t="str">
        <f t="shared" si="20"/>
        <v/>
      </c>
      <c r="R66" s="7" t="str">
        <f t="shared" si="20"/>
        <v/>
      </c>
      <c r="S66" s="7" t="str">
        <f t="shared" si="20"/>
        <v>P</v>
      </c>
      <c r="T66" s="7" t="str">
        <f t="shared" si="20"/>
        <v>P</v>
      </c>
      <c r="U66" s="7" t="str">
        <f t="shared" si="20"/>
        <v>C</v>
      </c>
      <c r="V66" s="7" t="str">
        <f t="shared" si="20"/>
        <v/>
      </c>
      <c r="W66" s="7" t="str">
        <f t="shared" si="20"/>
        <v/>
      </c>
      <c r="X66" s="7" t="str">
        <f t="shared" si="20"/>
        <v/>
      </c>
    </row>
    <row r="67" spans="1:24" ht="15" customHeight="1" x14ac:dyDescent="0.25">
      <c r="A67" s="7">
        <v>50</v>
      </c>
      <c r="B67" s="7">
        <v>2</v>
      </c>
      <c r="C67" s="8" t="s">
        <v>97</v>
      </c>
      <c r="D67" s="8" t="s">
        <v>85</v>
      </c>
      <c r="E67" s="29">
        <f t="shared" si="13"/>
        <v>46452</v>
      </c>
      <c r="F67" s="29">
        <f t="shared" si="14"/>
        <v>46447</v>
      </c>
      <c r="G67" s="29">
        <f t="shared" si="15"/>
        <v>46432</v>
      </c>
      <c r="H67" s="29">
        <f t="shared" si="16"/>
        <v>46427</v>
      </c>
      <c r="I67" s="29">
        <f t="shared" si="17"/>
        <v>46397</v>
      </c>
      <c r="J67" s="29">
        <f t="shared" si="18"/>
        <v>46459</v>
      </c>
      <c r="K67" s="7" t="str">
        <f t="shared" ca="1" si="19"/>
        <v>OK</v>
      </c>
      <c r="M67" s="7" t="str">
        <f t="shared" si="21"/>
        <v/>
      </c>
      <c r="N67" s="7" t="str">
        <f t="shared" si="21"/>
        <v/>
      </c>
      <c r="O67" s="7" t="str">
        <f t="shared" si="21"/>
        <v/>
      </c>
      <c r="P67" s="7" t="str">
        <f t="shared" si="20"/>
        <v/>
      </c>
      <c r="Q67" s="7" t="str">
        <f t="shared" si="20"/>
        <v/>
      </c>
      <c r="R67" s="7" t="str">
        <f t="shared" si="20"/>
        <v/>
      </c>
      <c r="S67" s="7" t="str">
        <f t="shared" si="20"/>
        <v>P</v>
      </c>
      <c r="T67" s="7" t="str">
        <f t="shared" si="20"/>
        <v>P</v>
      </c>
      <c r="U67" s="7" t="str">
        <f t="shared" si="20"/>
        <v>C</v>
      </c>
      <c r="V67" s="7" t="str">
        <f t="shared" si="20"/>
        <v/>
      </c>
      <c r="W67" s="7" t="str">
        <f t="shared" si="20"/>
        <v/>
      </c>
      <c r="X67" s="7" t="str">
        <f t="shared" si="20"/>
        <v/>
      </c>
    </row>
    <row r="68" spans="1:24" ht="15" customHeight="1" x14ac:dyDescent="0.25">
      <c r="A68" s="7">
        <v>51</v>
      </c>
      <c r="B68" s="7">
        <v>2</v>
      </c>
      <c r="C68" s="8" t="s">
        <v>97</v>
      </c>
      <c r="D68" s="8" t="s">
        <v>85</v>
      </c>
      <c r="E68" s="29">
        <f t="shared" si="13"/>
        <v>46455</v>
      </c>
      <c r="F68" s="29">
        <f t="shared" si="14"/>
        <v>46450</v>
      </c>
      <c r="G68" s="29">
        <f t="shared" si="15"/>
        <v>46435</v>
      </c>
      <c r="H68" s="29">
        <f t="shared" si="16"/>
        <v>46430</v>
      </c>
      <c r="I68" s="29">
        <f t="shared" si="17"/>
        <v>46400</v>
      </c>
      <c r="J68" s="29">
        <f t="shared" si="18"/>
        <v>46462</v>
      </c>
      <c r="K68" s="7" t="str">
        <f t="shared" ca="1" si="19"/>
        <v>OK</v>
      </c>
      <c r="M68" s="7" t="str">
        <f t="shared" si="21"/>
        <v/>
      </c>
      <c r="N68" s="7" t="str">
        <f t="shared" si="21"/>
        <v/>
      </c>
      <c r="O68" s="7" t="str">
        <f t="shared" si="21"/>
        <v/>
      </c>
      <c r="P68" s="7" t="str">
        <f t="shared" si="20"/>
        <v/>
      </c>
      <c r="Q68" s="7" t="str">
        <f t="shared" si="20"/>
        <v/>
      </c>
      <c r="R68" s="7" t="str">
        <f t="shared" si="20"/>
        <v/>
      </c>
      <c r="S68" s="7" t="str">
        <f t="shared" si="20"/>
        <v>P</v>
      </c>
      <c r="T68" s="7" t="str">
        <f t="shared" si="20"/>
        <v>P</v>
      </c>
      <c r="U68" s="7" t="str">
        <f t="shared" si="20"/>
        <v>C</v>
      </c>
      <c r="V68" s="7" t="str">
        <f t="shared" si="20"/>
        <v/>
      </c>
      <c r="W68" s="7" t="str">
        <f t="shared" si="20"/>
        <v/>
      </c>
      <c r="X68" s="7" t="str">
        <f t="shared" si="20"/>
        <v/>
      </c>
    </row>
    <row r="69" spans="1:24" ht="15" customHeight="1" x14ac:dyDescent="0.25">
      <c r="A69" s="7">
        <v>52</v>
      </c>
      <c r="B69" s="7">
        <v>2</v>
      </c>
      <c r="C69" s="8" t="s">
        <v>98</v>
      </c>
      <c r="D69" s="8" t="s">
        <v>85</v>
      </c>
      <c r="E69" s="29">
        <f t="shared" si="13"/>
        <v>46458</v>
      </c>
      <c r="F69" s="29">
        <f t="shared" si="14"/>
        <v>46453</v>
      </c>
      <c r="G69" s="29">
        <f t="shared" si="15"/>
        <v>46438</v>
      </c>
      <c r="H69" s="29">
        <f t="shared" si="16"/>
        <v>46433</v>
      </c>
      <c r="I69" s="29">
        <f t="shared" si="17"/>
        <v>46403</v>
      </c>
      <c r="J69" s="29">
        <f t="shared" si="18"/>
        <v>46465</v>
      </c>
      <c r="K69" s="7" t="str">
        <f t="shared" ca="1" si="19"/>
        <v>OK</v>
      </c>
      <c r="M69" s="7" t="str">
        <f t="shared" si="21"/>
        <v/>
      </c>
      <c r="N69" s="7" t="str">
        <f t="shared" si="21"/>
        <v/>
      </c>
      <c r="O69" s="7" t="str">
        <f t="shared" si="21"/>
        <v/>
      </c>
      <c r="P69" s="7" t="str">
        <f t="shared" si="20"/>
        <v/>
      </c>
      <c r="Q69" s="7" t="str">
        <f t="shared" si="20"/>
        <v/>
      </c>
      <c r="R69" s="7" t="str">
        <f t="shared" si="20"/>
        <v/>
      </c>
      <c r="S69" s="7" t="str">
        <f t="shared" si="20"/>
        <v>P</v>
      </c>
      <c r="T69" s="7" t="str">
        <f t="shared" si="20"/>
        <v>P</v>
      </c>
      <c r="U69" s="7" t="str">
        <f t="shared" si="20"/>
        <v>C</v>
      </c>
      <c r="V69" s="7" t="str">
        <f t="shared" si="20"/>
        <v/>
      </c>
      <c r="W69" s="7" t="str">
        <f t="shared" si="20"/>
        <v/>
      </c>
      <c r="X69" s="7" t="str">
        <f t="shared" si="20"/>
        <v/>
      </c>
    </row>
    <row r="70" spans="1:24" ht="15" customHeight="1" x14ac:dyDescent="0.25">
      <c r="A70" s="7">
        <v>53</v>
      </c>
      <c r="B70" s="7">
        <v>2</v>
      </c>
      <c r="C70" s="8" t="s">
        <v>98</v>
      </c>
      <c r="D70" s="8" t="s">
        <v>85</v>
      </c>
      <c r="E70" s="29">
        <f t="shared" si="13"/>
        <v>46461</v>
      </c>
      <c r="F70" s="29">
        <f t="shared" si="14"/>
        <v>46456</v>
      </c>
      <c r="G70" s="29">
        <f t="shared" si="15"/>
        <v>46441</v>
      </c>
      <c r="H70" s="29">
        <f t="shared" si="16"/>
        <v>46436</v>
      </c>
      <c r="I70" s="29">
        <f t="shared" si="17"/>
        <v>46406</v>
      </c>
      <c r="J70" s="29">
        <f t="shared" si="18"/>
        <v>46468</v>
      </c>
      <c r="K70" s="7" t="str">
        <f t="shared" ca="1" si="19"/>
        <v>OK</v>
      </c>
      <c r="M70" s="7" t="str">
        <f t="shared" si="21"/>
        <v/>
      </c>
      <c r="N70" s="7" t="str">
        <f t="shared" si="21"/>
        <v/>
      </c>
      <c r="O70" s="7" t="str">
        <f t="shared" si="21"/>
        <v/>
      </c>
      <c r="P70" s="7" t="str">
        <f t="shared" si="20"/>
        <v/>
      </c>
      <c r="Q70" s="7" t="str">
        <f t="shared" si="20"/>
        <v/>
      </c>
      <c r="R70" s="7" t="str">
        <f t="shared" si="20"/>
        <v/>
      </c>
      <c r="S70" s="7" t="str">
        <f t="shared" si="20"/>
        <v>P</v>
      </c>
      <c r="T70" s="7" t="str">
        <f t="shared" si="20"/>
        <v>P</v>
      </c>
      <c r="U70" s="7" t="str">
        <f t="shared" si="20"/>
        <v>C</v>
      </c>
      <c r="V70" s="7" t="str">
        <f t="shared" si="20"/>
        <v/>
      </c>
      <c r="W70" s="7" t="str">
        <f t="shared" si="20"/>
        <v/>
      </c>
      <c r="X70" s="7" t="str">
        <f t="shared" si="20"/>
        <v/>
      </c>
    </row>
    <row r="71" spans="1:24" ht="15" customHeight="1" x14ac:dyDescent="0.25">
      <c r="A71" s="7">
        <v>54</v>
      </c>
      <c r="B71" s="7">
        <v>2</v>
      </c>
      <c r="C71" s="8" t="s">
        <v>98</v>
      </c>
      <c r="D71" s="8" t="s">
        <v>85</v>
      </c>
      <c r="E71" s="29">
        <f t="shared" si="13"/>
        <v>46464</v>
      </c>
      <c r="F71" s="29">
        <f t="shared" si="14"/>
        <v>46459</v>
      </c>
      <c r="G71" s="29">
        <f t="shared" si="15"/>
        <v>46444</v>
      </c>
      <c r="H71" s="29">
        <f t="shared" si="16"/>
        <v>46439</v>
      </c>
      <c r="I71" s="29">
        <f t="shared" si="17"/>
        <v>46409</v>
      </c>
      <c r="J71" s="29">
        <f t="shared" si="18"/>
        <v>46471</v>
      </c>
      <c r="K71" s="7" t="str">
        <f t="shared" ca="1" si="19"/>
        <v>OK</v>
      </c>
      <c r="M71" s="7" t="str">
        <f t="shared" si="21"/>
        <v/>
      </c>
      <c r="N71" s="7" t="str">
        <f t="shared" si="21"/>
        <v/>
      </c>
      <c r="O71" s="7" t="str">
        <f t="shared" si="21"/>
        <v/>
      </c>
      <c r="P71" s="7" t="str">
        <f t="shared" si="20"/>
        <v/>
      </c>
      <c r="Q71" s="7" t="str">
        <f t="shared" si="20"/>
        <v/>
      </c>
      <c r="R71" s="7" t="str">
        <f t="shared" si="20"/>
        <v/>
      </c>
      <c r="S71" s="7" t="str">
        <f t="shared" si="20"/>
        <v>P</v>
      </c>
      <c r="T71" s="7" t="str">
        <f t="shared" si="20"/>
        <v>P</v>
      </c>
      <c r="U71" s="7" t="str">
        <f t="shared" si="20"/>
        <v>C</v>
      </c>
      <c r="V71" s="7" t="str">
        <f t="shared" si="20"/>
        <v/>
      </c>
      <c r="W71" s="7" t="str">
        <f t="shared" si="20"/>
        <v/>
      </c>
      <c r="X71" s="7" t="str">
        <f t="shared" si="20"/>
        <v/>
      </c>
    </row>
    <row r="72" spans="1:24" ht="15" customHeight="1" x14ac:dyDescent="0.25">
      <c r="A72" s="7">
        <v>55</v>
      </c>
      <c r="B72" s="7">
        <v>3</v>
      </c>
      <c r="C72" s="8" t="s">
        <v>99</v>
      </c>
      <c r="D72" s="8" t="s">
        <v>85</v>
      </c>
      <c r="E72" s="29">
        <f t="shared" si="13"/>
        <v>46467</v>
      </c>
      <c r="F72" s="29">
        <f t="shared" si="14"/>
        <v>46462</v>
      </c>
      <c r="G72" s="29">
        <f t="shared" si="15"/>
        <v>46447</v>
      </c>
      <c r="H72" s="29">
        <f t="shared" si="16"/>
        <v>46442</v>
      </c>
      <c r="I72" s="29">
        <f t="shared" si="17"/>
        <v>46412</v>
      </c>
      <c r="J72" s="29">
        <f t="shared" si="18"/>
        <v>46474</v>
      </c>
      <c r="K72" s="7" t="str">
        <f t="shared" ca="1" si="19"/>
        <v>OK</v>
      </c>
      <c r="M72" s="7" t="str">
        <f t="shared" si="21"/>
        <v/>
      </c>
      <c r="N72" s="7" t="str">
        <f t="shared" si="21"/>
        <v/>
      </c>
      <c r="O72" s="7" t="str">
        <f t="shared" si="21"/>
        <v/>
      </c>
      <c r="P72" s="7" t="str">
        <f t="shared" si="20"/>
        <v/>
      </c>
      <c r="Q72" s="7" t="str">
        <f t="shared" si="20"/>
        <v/>
      </c>
      <c r="R72" s="7" t="str">
        <f t="shared" si="20"/>
        <v/>
      </c>
      <c r="S72" s="7" t="str">
        <f t="shared" si="20"/>
        <v>P</v>
      </c>
      <c r="T72" s="7" t="str">
        <f t="shared" si="20"/>
        <v>P</v>
      </c>
      <c r="U72" s="7" t="str">
        <f t="shared" si="20"/>
        <v>C</v>
      </c>
      <c r="V72" s="7" t="str">
        <f t="shared" si="20"/>
        <v/>
      </c>
      <c r="W72" s="7" t="str">
        <f t="shared" si="20"/>
        <v/>
      </c>
      <c r="X72" s="7" t="str">
        <f t="shared" si="20"/>
        <v/>
      </c>
    </row>
    <row r="73" spans="1:24" ht="15" customHeight="1" x14ac:dyDescent="0.25">
      <c r="A73" s="7">
        <v>56</v>
      </c>
      <c r="B73" s="7">
        <v>3</v>
      </c>
      <c r="C73" s="8" t="s">
        <v>100</v>
      </c>
      <c r="D73" s="8" t="s">
        <v>85</v>
      </c>
      <c r="E73" s="29">
        <f t="shared" si="13"/>
        <v>46470</v>
      </c>
      <c r="F73" s="29">
        <f t="shared" si="14"/>
        <v>46465</v>
      </c>
      <c r="G73" s="29">
        <f t="shared" si="15"/>
        <v>46450</v>
      </c>
      <c r="H73" s="29">
        <f t="shared" si="16"/>
        <v>46445</v>
      </c>
      <c r="I73" s="29">
        <f t="shared" si="17"/>
        <v>46415</v>
      </c>
      <c r="J73" s="29">
        <f t="shared" si="18"/>
        <v>46477</v>
      </c>
      <c r="K73" s="7" t="str">
        <f t="shared" ca="1" si="19"/>
        <v>OK</v>
      </c>
      <c r="M73" s="7" t="str">
        <f t="shared" si="21"/>
        <v/>
      </c>
      <c r="N73" s="7" t="str">
        <f t="shared" si="21"/>
        <v/>
      </c>
      <c r="O73" s="7" t="str">
        <f t="shared" si="21"/>
        <v/>
      </c>
      <c r="P73" s="7" t="str">
        <f t="shared" si="20"/>
        <v/>
      </c>
      <c r="Q73" s="7" t="str">
        <f t="shared" si="20"/>
        <v/>
      </c>
      <c r="R73" s="7" t="str">
        <f t="shared" si="20"/>
        <v/>
      </c>
      <c r="S73" s="7" t="str">
        <f t="shared" si="20"/>
        <v>P</v>
      </c>
      <c r="T73" s="7" t="str">
        <f t="shared" si="20"/>
        <v>P</v>
      </c>
      <c r="U73" s="7" t="str">
        <f t="shared" si="20"/>
        <v>C</v>
      </c>
      <c r="V73" s="7" t="str">
        <f t="shared" si="20"/>
        <v/>
      </c>
      <c r="W73" s="7" t="str">
        <f t="shared" si="20"/>
        <v/>
      </c>
      <c r="X73" s="7" t="str">
        <f t="shared" si="20"/>
        <v/>
      </c>
    </row>
    <row r="74" spans="1:24" ht="15" customHeight="1" x14ac:dyDescent="0.25">
      <c r="A74" s="7">
        <v>57</v>
      </c>
      <c r="B74" s="7">
        <v>3</v>
      </c>
      <c r="C74" s="8" t="s">
        <v>101</v>
      </c>
      <c r="D74" s="8" t="s">
        <v>85</v>
      </c>
      <c r="E74" s="29">
        <f t="shared" si="13"/>
        <v>46473</v>
      </c>
      <c r="F74" s="29">
        <f t="shared" si="14"/>
        <v>46468</v>
      </c>
      <c r="G74" s="29">
        <f t="shared" si="15"/>
        <v>46453</v>
      </c>
      <c r="H74" s="29">
        <f t="shared" si="16"/>
        <v>46448</v>
      </c>
      <c r="I74" s="29">
        <f t="shared" si="17"/>
        <v>46418</v>
      </c>
      <c r="J74" s="29">
        <f t="shared" si="18"/>
        <v>46480</v>
      </c>
      <c r="K74" s="7" t="str">
        <f t="shared" ca="1" si="19"/>
        <v>OK</v>
      </c>
      <c r="M74" s="7" t="str">
        <f t="shared" si="21"/>
        <v/>
      </c>
      <c r="N74" s="7" t="str">
        <f t="shared" si="21"/>
        <v/>
      </c>
      <c r="O74" s="7" t="str">
        <f t="shared" si="21"/>
        <v/>
      </c>
      <c r="P74" s="7" t="str">
        <f t="shared" si="20"/>
        <v/>
      </c>
      <c r="Q74" s="7" t="str">
        <f t="shared" si="20"/>
        <v/>
      </c>
      <c r="R74" s="7" t="str">
        <f t="shared" si="20"/>
        <v/>
      </c>
      <c r="S74" s="7" t="str">
        <f t="shared" si="20"/>
        <v>P</v>
      </c>
      <c r="T74" s="7" t="str">
        <f t="shared" si="20"/>
        <v>P</v>
      </c>
      <c r="U74" s="7" t="str">
        <f t="shared" si="20"/>
        <v>C</v>
      </c>
      <c r="V74" s="7" t="str">
        <f t="shared" si="20"/>
        <v/>
      </c>
      <c r="W74" s="7" t="str">
        <f t="shared" si="20"/>
        <v/>
      </c>
      <c r="X74" s="7" t="str">
        <f t="shared" si="20"/>
        <v/>
      </c>
    </row>
    <row r="75" spans="1:24" ht="15" customHeight="1" x14ac:dyDescent="0.25">
      <c r="A75" s="7">
        <v>58</v>
      </c>
      <c r="B75" s="7">
        <v>3</v>
      </c>
      <c r="C75" s="8" t="s">
        <v>101</v>
      </c>
      <c r="D75" s="8" t="s">
        <v>85</v>
      </c>
      <c r="E75" s="29">
        <f t="shared" si="13"/>
        <v>46476</v>
      </c>
      <c r="F75" s="29">
        <f t="shared" si="14"/>
        <v>46471</v>
      </c>
      <c r="G75" s="29">
        <f t="shared" si="15"/>
        <v>46456</v>
      </c>
      <c r="H75" s="29">
        <f t="shared" si="16"/>
        <v>46451</v>
      </c>
      <c r="I75" s="29">
        <f t="shared" si="17"/>
        <v>46421</v>
      </c>
      <c r="J75" s="29">
        <f t="shared" si="18"/>
        <v>46483</v>
      </c>
      <c r="K75" s="7" t="str">
        <f t="shared" ca="1" si="19"/>
        <v>OK</v>
      </c>
      <c r="M75" s="7" t="str">
        <f t="shared" si="21"/>
        <v/>
      </c>
      <c r="N75" s="7" t="str">
        <f t="shared" si="21"/>
        <v/>
      </c>
      <c r="O75" s="7" t="str">
        <f t="shared" si="21"/>
        <v/>
      </c>
      <c r="P75" s="7" t="str">
        <f t="shared" si="20"/>
        <v/>
      </c>
      <c r="Q75" s="7" t="str">
        <f t="shared" si="20"/>
        <v/>
      </c>
      <c r="R75" s="7" t="str">
        <f t="shared" si="20"/>
        <v/>
      </c>
      <c r="S75" s="7" t="str">
        <f t="shared" si="20"/>
        <v/>
      </c>
      <c r="T75" s="7" t="str">
        <f t="shared" si="20"/>
        <v>P</v>
      </c>
      <c r="U75" s="7" t="str">
        <f t="shared" si="20"/>
        <v>C</v>
      </c>
      <c r="V75" s="7" t="str">
        <f t="shared" si="20"/>
        <v/>
      </c>
      <c r="W75" s="7" t="str">
        <f t="shared" si="20"/>
        <v/>
      </c>
      <c r="X75" s="7" t="str">
        <f t="shared" si="20"/>
        <v/>
      </c>
    </row>
    <row r="76" spans="1:24" ht="15" customHeight="1" x14ac:dyDescent="0.25">
      <c r="A76" s="7">
        <v>59</v>
      </c>
      <c r="B76" s="7">
        <v>3</v>
      </c>
      <c r="C76" s="8" t="s">
        <v>102</v>
      </c>
      <c r="D76" s="8" t="s">
        <v>85</v>
      </c>
      <c r="E76" s="29">
        <f t="shared" si="13"/>
        <v>46479</v>
      </c>
      <c r="F76" s="29">
        <f t="shared" si="14"/>
        <v>46474</v>
      </c>
      <c r="G76" s="29">
        <f t="shared" si="15"/>
        <v>46459</v>
      </c>
      <c r="H76" s="29">
        <f t="shared" si="16"/>
        <v>46454</v>
      </c>
      <c r="I76" s="29">
        <f t="shared" si="17"/>
        <v>46424</v>
      </c>
      <c r="J76" s="29">
        <f t="shared" si="18"/>
        <v>46486</v>
      </c>
      <c r="K76" s="7" t="str">
        <f t="shared" ca="1" si="19"/>
        <v>OK</v>
      </c>
      <c r="M76" s="7" t="str">
        <f t="shared" si="21"/>
        <v/>
      </c>
      <c r="N76" s="7" t="str">
        <f t="shared" si="21"/>
        <v/>
      </c>
      <c r="O76" s="7" t="str">
        <f t="shared" si="21"/>
        <v/>
      </c>
      <c r="P76" s="7" t="str">
        <f t="shared" si="20"/>
        <v/>
      </c>
      <c r="Q76" s="7" t="str">
        <f t="shared" si="20"/>
        <v/>
      </c>
      <c r="R76" s="7" t="str">
        <f t="shared" si="20"/>
        <v/>
      </c>
      <c r="S76" s="7" t="str">
        <f t="shared" si="20"/>
        <v/>
      </c>
      <c r="T76" s="7" t="str">
        <f t="shared" si="20"/>
        <v>P</v>
      </c>
      <c r="U76" s="7" t="str">
        <f t="shared" si="20"/>
        <v>P</v>
      </c>
      <c r="V76" s="7" t="str">
        <f t="shared" si="20"/>
        <v>C</v>
      </c>
      <c r="W76" s="7" t="str">
        <f t="shared" si="20"/>
        <v/>
      </c>
      <c r="X76" s="7" t="str">
        <f t="shared" si="20"/>
        <v/>
      </c>
    </row>
    <row r="77" spans="1:24" ht="15" customHeight="1" x14ac:dyDescent="0.25">
      <c r="A77" s="7">
        <v>60</v>
      </c>
      <c r="B77" s="7">
        <v>3</v>
      </c>
      <c r="C77" s="8" t="s">
        <v>102</v>
      </c>
      <c r="D77" s="8" t="s">
        <v>85</v>
      </c>
      <c r="E77" s="29">
        <f t="shared" si="13"/>
        <v>46482</v>
      </c>
      <c r="F77" s="29">
        <f t="shared" si="14"/>
        <v>46477</v>
      </c>
      <c r="G77" s="29">
        <f t="shared" si="15"/>
        <v>46462</v>
      </c>
      <c r="H77" s="29">
        <f t="shared" si="16"/>
        <v>46457</v>
      </c>
      <c r="I77" s="29">
        <f t="shared" si="17"/>
        <v>46427</v>
      </c>
      <c r="J77" s="29">
        <f t="shared" si="18"/>
        <v>46489</v>
      </c>
      <c r="K77" s="7" t="str">
        <f t="shared" ca="1" si="19"/>
        <v>OK</v>
      </c>
      <c r="M77" s="7" t="str">
        <f t="shared" si="21"/>
        <v/>
      </c>
      <c r="N77" s="7" t="str">
        <f t="shared" si="21"/>
        <v/>
      </c>
      <c r="O77" s="7" t="str">
        <f t="shared" si="21"/>
        <v/>
      </c>
      <c r="P77" s="7" t="str">
        <f t="shared" si="20"/>
        <v/>
      </c>
      <c r="Q77" s="7" t="str">
        <f t="shared" si="20"/>
        <v/>
      </c>
      <c r="R77" s="7" t="str">
        <f t="shared" si="20"/>
        <v/>
      </c>
      <c r="S77" s="7" t="str">
        <f t="shared" si="20"/>
        <v/>
      </c>
      <c r="T77" s="7" t="str">
        <f t="shared" si="20"/>
        <v>P</v>
      </c>
      <c r="U77" s="7" t="str">
        <f t="shared" si="20"/>
        <v>P</v>
      </c>
      <c r="V77" s="7" t="str">
        <f t="shared" si="20"/>
        <v>C</v>
      </c>
      <c r="W77" s="7" t="str">
        <f t="shared" si="20"/>
        <v/>
      </c>
      <c r="X77" s="7" t="str">
        <f t="shared" si="20"/>
        <v/>
      </c>
    </row>
    <row r="78" spans="1:24" ht="15" customHeight="1" x14ac:dyDescent="0.25">
      <c r="A78" s="7">
        <v>61</v>
      </c>
      <c r="B78" s="7">
        <v>3</v>
      </c>
      <c r="C78" s="8" t="s">
        <v>102</v>
      </c>
      <c r="D78" s="8" t="s">
        <v>85</v>
      </c>
      <c r="E78" s="29">
        <f t="shared" si="13"/>
        <v>46485</v>
      </c>
      <c r="F78" s="29">
        <f t="shared" si="14"/>
        <v>46480</v>
      </c>
      <c r="G78" s="29">
        <f t="shared" si="15"/>
        <v>46465</v>
      </c>
      <c r="H78" s="29">
        <f t="shared" si="16"/>
        <v>46460</v>
      </c>
      <c r="I78" s="29">
        <f t="shared" si="17"/>
        <v>46430</v>
      </c>
      <c r="J78" s="29">
        <f t="shared" si="18"/>
        <v>46492</v>
      </c>
      <c r="K78" s="7" t="str">
        <f t="shared" ca="1" si="19"/>
        <v>OK</v>
      </c>
      <c r="M78" s="7" t="str">
        <f t="shared" si="21"/>
        <v/>
      </c>
      <c r="N78" s="7" t="str">
        <f t="shared" si="21"/>
        <v/>
      </c>
      <c r="O78" s="7" t="str">
        <f t="shared" si="21"/>
        <v/>
      </c>
      <c r="P78" s="7" t="str">
        <f t="shared" si="20"/>
        <v/>
      </c>
      <c r="Q78" s="7" t="str">
        <f t="shared" si="20"/>
        <v/>
      </c>
      <c r="R78" s="7" t="str">
        <f t="shared" si="20"/>
        <v/>
      </c>
      <c r="S78" s="7" t="str">
        <f t="shared" si="20"/>
        <v/>
      </c>
      <c r="T78" s="7" t="str">
        <f t="shared" si="20"/>
        <v>P</v>
      </c>
      <c r="U78" s="7" t="str">
        <f t="shared" si="20"/>
        <v>P</v>
      </c>
      <c r="V78" s="7" t="str">
        <f t="shared" si="20"/>
        <v>C</v>
      </c>
      <c r="W78" s="7" t="str">
        <f t="shared" si="20"/>
        <v/>
      </c>
      <c r="X78" s="7" t="str">
        <f t="shared" si="20"/>
        <v/>
      </c>
    </row>
    <row r="79" spans="1:24" ht="15" customHeight="1" x14ac:dyDescent="0.25">
      <c r="A79" s="7">
        <v>62</v>
      </c>
      <c r="B79" s="7">
        <v>3</v>
      </c>
      <c r="C79" s="8" t="s">
        <v>102</v>
      </c>
      <c r="D79" s="8" t="s">
        <v>87</v>
      </c>
      <c r="E79" s="29">
        <f t="shared" si="13"/>
        <v>46488</v>
      </c>
      <c r="F79" s="29">
        <f t="shared" si="14"/>
        <v>46483</v>
      </c>
      <c r="G79" s="29">
        <f t="shared" si="15"/>
        <v>46468</v>
      </c>
      <c r="H79" s="29">
        <f t="shared" si="16"/>
        <v>46463</v>
      </c>
      <c r="I79" s="29">
        <f t="shared" si="17"/>
        <v>46433</v>
      </c>
      <c r="J79" s="29">
        <f t="shared" si="18"/>
        <v>46495</v>
      </c>
      <c r="K79" s="7" t="str">
        <f t="shared" ca="1" si="19"/>
        <v>OK</v>
      </c>
      <c r="M79" s="7" t="str">
        <f t="shared" si="21"/>
        <v/>
      </c>
      <c r="N79" s="7" t="str">
        <f t="shared" si="21"/>
        <v/>
      </c>
      <c r="O79" s="7" t="str">
        <f t="shared" si="21"/>
        <v/>
      </c>
      <c r="P79" s="7" t="str">
        <f t="shared" si="20"/>
        <v/>
      </c>
      <c r="Q79" s="7" t="str">
        <f t="shared" si="20"/>
        <v/>
      </c>
      <c r="R79" s="7" t="str">
        <f t="shared" si="20"/>
        <v/>
      </c>
      <c r="S79" s="7" t="str">
        <f t="shared" si="20"/>
        <v/>
      </c>
      <c r="T79" s="7" t="str">
        <f t="shared" si="20"/>
        <v>P</v>
      </c>
      <c r="U79" s="7" t="str">
        <f t="shared" si="20"/>
        <v>P</v>
      </c>
      <c r="V79" s="7" t="str">
        <f t="shared" si="20"/>
        <v>C</v>
      </c>
      <c r="W79" s="7" t="str">
        <f t="shared" si="20"/>
        <v/>
      </c>
      <c r="X79" s="7" t="str">
        <f t="shared" si="20"/>
        <v/>
      </c>
    </row>
    <row r="80" spans="1:24" ht="15" customHeight="1" x14ac:dyDescent="0.25">
      <c r="A80" s="7">
        <v>63</v>
      </c>
      <c r="B80" s="7">
        <v>3</v>
      </c>
      <c r="C80" s="8" t="s">
        <v>103</v>
      </c>
      <c r="D80" s="8" t="s">
        <v>91</v>
      </c>
      <c r="E80" s="29">
        <f t="shared" si="13"/>
        <v>46491</v>
      </c>
      <c r="F80" s="29">
        <f t="shared" si="14"/>
        <v>46486</v>
      </c>
      <c r="G80" s="29">
        <f t="shared" si="15"/>
        <v>46471</v>
      </c>
      <c r="H80" s="29">
        <f t="shared" si="16"/>
        <v>46466</v>
      </c>
      <c r="I80" s="29">
        <f t="shared" si="17"/>
        <v>46436</v>
      </c>
      <c r="J80" s="29">
        <f t="shared" si="18"/>
        <v>46498</v>
      </c>
      <c r="K80" s="7" t="str">
        <f t="shared" ca="1" si="19"/>
        <v>OK</v>
      </c>
      <c r="M80" s="7" t="str">
        <f t="shared" si="21"/>
        <v/>
      </c>
      <c r="N80" s="7" t="str">
        <f t="shared" si="21"/>
        <v/>
      </c>
      <c r="O80" s="7" t="str">
        <f t="shared" si="21"/>
        <v/>
      </c>
      <c r="P80" s="7" t="str">
        <f t="shared" si="20"/>
        <v/>
      </c>
      <c r="Q80" s="7" t="str">
        <f t="shared" si="20"/>
        <v/>
      </c>
      <c r="R80" s="7" t="str">
        <f t="shared" si="20"/>
        <v/>
      </c>
      <c r="S80" s="7" t="str">
        <f t="shared" si="20"/>
        <v/>
      </c>
      <c r="T80" s="7" t="str">
        <f t="shared" si="20"/>
        <v>P</v>
      </c>
      <c r="U80" s="7" t="str">
        <f t="shared" si="20"/>
        <v>P</v>
      </c>
      <c r="V80" s="7" t="str">
        <f t="shared" si="20"/>
        <v>C</v>
      </c>
      <c r="W80" s="7" t="str">
        <f t="shared" si="20"/>
        <v/>
      </c>
      <c r="X80" s="7" t="str">
        <f t="shared" si="20"/>
        <v/>
      </c>
    </row>
    <row r="81" spans="1:24" ht="15" customHeight="1" x14ac:dyDescent="0.25">
      <c r="A81" s="7">
        <v>64</v>
      </c>
      <c r="B81" s="7">
        <v>3</v>
      </c>
      <c r="C81" s="8" t="s">
        <v>104</v>
      </c>
      <c r="D81" s="8" t="s">
        <v>85</v>
      </c>
      <c r="E81" s="29">
        <f t="shared" si="13"/>
        <v>46494</v>
      </c>
      <c r="F81" s="29">
        <f t="shared" si="14"/>
        <v>46489</v>
      </c>
      <c r="G81" s="29">
        <f t="shared" si="15"/>
        <v>46474</v>
      </c>
      <c r="H81" s="29">
        <f t="shared" si="16"/>
        <v>46469</v>
      </c>
      <c r="I81" s="29">
        <f t="shared" si="17"/>
        <v>46439</v>
      </c>
      <c r="J81" s="29">
        <f t="shared" si="18"/>
        <v>46501</v>
      </c>
      <c r="K81" s="7" t="str">
        <f t="shared" ca="1" si="19"/>
        <v>OK</v>
      </c>
      <c r="M81" s="7" t="str">
        <f t="shared" si="21"/>
        <v/>
      </c>
      <c r="N81" s="7" t="str">
        <f t="shared" si="21"/>
        <v/>
      </c>
      <c r="O81" s="7" t="str">
        <f t="shared" si="21"/>
        <v/>
      </c>
      <c r="P81" s="7" t="str">
        <f t="shared" si="20"/>
        <v/>
      </c>
      <c r="Q81" s="7" t="str">
        <f t="shared" si="20"/>
        <v/>
      </c>
      <c r="R81" s="7" t="str">
        <f t="shared" si="20"/>
        <v/>
      </c>
      <c r="S81" s="7" t="str">
        <f t="shared" si="20"/>
        <v/>
      </c>
      <c r="T81" s="7" t="str">
        <f t="shared" si="20"/>
        <v>P</v>
      </c>
      <c r="U81" s="7" t="str">
        <f t="shared" si="20"/>
        <v>P</v>
      </c>
      <c r="V81" s="7" t="str">
        <f t="shared" si="20"/>
        <v>C</v>
      </c>
      <c r="W81" s="7" t="str">
        <f t="shared" si="20"/>
        <v/>
      </c>
      <c r="X81" s="7" t="str">
        <f t="shared" si="20"/>
        <v/>
      </c>
    </row>
    <row r="82" spans="1:24" ht="15" customHeight="1" x14ac:dyDescent="0.25">
      <c r="A82" s="7">
        <v>65</v>
      </c>
      <c r="B82" s="7">
        <v>3</v>
      </c>
      <c r="C82" s="8" t="s">
        <v>104</v>
      </c>
      <c r="D82" s="8" t="s">
        <v>85</v>
      </c>
      <c r="E82" s="29">
        <f t="shared" ref="E82:E113" si="22">$C$4+ROUND((A82-1)*15/MAX($C$5,1),0)</f>
        <v>46497</v>
      </c>
      <c r="F82" s="29">
        <f t="shared" ref="F82:F113" si="23">E82-$C$11</f>
        <v>46492</v>
      </c>
      <c r="G82" s="29">
        <f t="shared" ref="G82:G113" si="24">F82-$C$10</f>
        <v>46477</v>
      </c>
      <c r="H82" s="29">
        <f t="shared" ref="H82:H113" si="25">G82-$C$9</f>
        <v>46472</v>
      </c>
      <c r="I82" s="29">
        <f t="shared" ref="I82:I113" si="26">H82-$C$8</f>
        <v>46442</v>
      </c>
      <c r="J82" s="29">
        <f t="shared" ref="J82:J113" si="27">E82+$C$12</f>
        <v>46504</v>
      </c>
      <c r="K82" s="7" t="str">
        <f t="shared" ref="K82:K113" ca="1" si="28">IF(I82&lt;$C$14,"⚠ Amont à lancer",IF(I82&lt;$C$14+30,"Bientôt","OK"))</f>
        <v>OK</v>
      </c>
      <c r="M82" s="7" t="str">
        <f t="shared" si="21"/>
        <v/>
      </c>
      <c r="N82" s="7" t="str">
        <f t="shared" si="21"/>
        <v/>
      </c>
      <c r="O82" s="7" t="str">
        <f t="shared" si="21"/>
        <v/>
      </c>
      <c r="P82" s="7" t="str">
        <f t="shared" si="20"/>
        <v/>
      </c>
      <c r="Q82" s="7" t="str">
        <f t="shared" si="20"/>
        <v/>
      </c>
      <c r="R82" s="7" t="str">
        <f t="shared" si="20"/>
        <v/>
      </c>
      <c r="S82" s="7" t="str">
        <f t="shared" si="20"/>
        <v/>
      </c>
      <c r="T82" s="7" t="str">
        <f t="shared" si="20"/>
        <v>P</v>
      </c>
      <c r="U82" s="7" t="str">
        <f t="shared" si="20"/>
        <v>P</v>
      </c>
      <c r="V82" s="7" t="str">
        <f t="shared" si="20"/>
        <v>C</v>
      </c>
      <c r="W82" s="7" t="str">
        <f t="shared" si="20"/>
        <v/>
      </c>
      <c r="X82" s="7" t="str">
        <f t="shared" si="20"/>
        <v/>
      </c>
    </row>
    <row r="83" spans="1:24" ht="15" customHeight="1" x14ac:dyDescent="0.25">
      <c r="A83" s="7">
        <v>66</v>
      </c>
      <c r="B83" s="7">
        <v>4</v>
      </c>
      <c r="C83" s="8" t="s">
        <v>105</v>
      </c>
      <c r="D83" s="8" t="s">
        <v>85</v>
      </c>
      <c r="E83" s="29">
        <f t="shared" si="22"/>
        <v>46500</v>
      </c>
      <c r="F83" s="29">
        <f t="shared" si="23"/>
        <v>46495</v>
      </c>
      <c r="G83" s="29">
        <f t="shared" si="24"/>
        <v>46480</v>
      </c>
      <c r="H83" s="29">
        <f t="shared" si="25"/>
        <v>46475</v>
      </c>
      <c r="I83" s="29">
        <f t="shared" si="26"/>
        <v>46445</v>
      </c>
      <c r="J83" s="29">
        <f t="shared" si="27"/>
        <v>46507</v>
      </c>
      <c r="K83" s="7" t="str">
        <f t="shared" ca="1" si="28"/>
        <v>OK</v>
      </c>
      <c r="M83" s="7" t="str">
        <f t="shared" si="21"/>
        <v/>
      </c>
      <c r="N83" s="7" t="str">
        <f t="shared" si="21"/>
        <v/>
      </c>
      <c r="O83" s="7" t="str">
        <f t="shared" si="21"/>
        <v/>
      </c>
      <c r="P83" s="7" t="str">
        <f t="shared" si="20"/>
        <v/>
      </c>
      <c r="Q83" s="7" t="str">
        <f t="shared" si="20"/>
        <v/>
      </c>
      <c r="R83" s="7" t="str">
        <f t="shared" si="20"/>
        <v/>
      </c>
      <c r="S83" s="7" t="str">
        <f t="shared" ref="S83:X114" si="29">IF(AND($E83&gt;=S$17,$E83&lt;EDATE(S$17,1)),"C",IF(AND(EDATE(S$17,1)&gt;$I83,S$17&lt;$E83),"P",""))</f>
        <v/>
      </c>
      <c r="T83" s="7" t="str">
        <f t="shared" si="29"/>
        <v>P</v>
      </c>
      <c r="U83" s="7" t="str">
        <f t="shared" si="29"/>
        <v>P</v>
      </c>
      <c r="V83" s="7" t="str">
        <f t="shared" si="29"/>
        <v>C</v>
      </c>
      <c r="W83" s="7" t="str">
        <f t="shared" si="29"/>
        <v/>
      </c>
      <c r="X83" s="7" t="str">
        <f t="shared" si="29"/>
        <v/>
      </c>
    </row>
    <row r="84" spans="1:24" ht="15" customHeight="1" x14ac:dyDescent="0.25">
      <c r="A84" s="7">
        <v>67</v>
      </c>
      <c r="B84" s="7">
        <v>4</v>
      </c>
      <c r="C84" s="8" t="s">
        <v>105</v>
      </c>
      <c r="D84" s="8" t="s">
        <v>87</v>
      </c>
      <c r="E84" s="29">
        <f t="shared" si="22"/>
        <v>46503</v>
      </c>
      <c r="F84" s="29">
        <f t="shared" si="23"/>
        <v>46498</v>
      </c>
      <c r="G84" s="29">
        <f t="shared" si="24"/>
        <v>46483</v>
      </c>
      <c r="H84" s="29">
        <f t="shared" si="25"/>
        <v>46478</v>
      </c>
      <c r="I84" s="29">
        <f t="shared" si="26"/>
        <v>46448</v>
      </c>
      <c r="J84" s="29">
        <f t="shared" si="27"/>
        <v>46510</v>
      </c>
      <c r="K84" s="7" t="str">
        <f t="shared" ca="1" si="28"/>
        <v>OK</v>
      </c>
      <c r="M84" s="7" t="str">
        <f t="shared" si="21"/>
        <v/>
      </c>
      <c r="N84" s="7" t="str">
        <f t="shared" si="21"/>
        <v/>
      </c>
      <c r="O84" s="7" t="str">
        <f t="shared" si="21"/>
        <v/>
      </c>
      <c r="P84" s="7" t="str">
        <f t="shared" si="21"/>
        <v/>
      </c>
      <c r="Q84" s="7" t="str">
        <f t="shared" si="21"/>
        <v/>
      </c>
      <c r="R84" s="7" t="str">
        <f t="shared" si="21"/>
        <v/>
      </c>
      <c r="S84" s="7" t="str">
        <f t="shared" si="29"/>
        <v/>
      </c>
      <c r="T84" s="7" t="str">
        <f t="shared" si="29"/>
        <v/>
      </c>
      <c r="U84" s="7" t="str">
        <f t="shared" si="29"/>
        <v>P</v>
      </c>
      <c r="V84" s="7" t="str">
        <f t="shared" si="29"/>
        <v>C</v>
      </c>
      <c r="W84" s="7" t="str">
        <f t="shared" si="29"/>
        <v/>
      </c>
      <c r="X84" s="7" t="str">
        <f t="shared" si="29"/>
        <v/>
      </c>
    </row>
    <row r="85" spans="1:24" ht="15" customHeight="1" x14ac:dyDescent="0.25">
      <c r="A85" s="7">
        <v>68</v>
      </c>
      <c r="B85" s="7">
        <v>4</v>
      </c>
      <c r="C85" s="8" t="s">
        <v>105</v>
      </c>
      <c r="D85" s="8" t="s">
        <v>87</v>
      </c>
      <c r="E85" s="29">
        <f t="shared" si="22"/>
        <v>46506</v>
      </c>
      <c r="F85" s="29">
        <f t="shared" si="23"/>
        <v>46501</v>
      </c>
      <c r="G85" s="29">
        <f t="shared" si="24"/>
        <v>46486</v>
      </c>
      <c r="H85" s="29">
        <f t="shared" si="25"/>
        <v>46481</v>
      </c>
      <c r="I85" s="29">
        <f t="shared" si="26"/>
        <v>46451</v>
      </c>
      <c r="J85" s="29">
        <f t="shared" si="27"/>
        <v>46513</v>
      </c>
      <c r="K85" s="7" t="str">
        <f t="shared" ca="1" si="28"/>
        <v>OK</v>
      </c>
      <c r="M85" s="7" t="str">
        <f t="shared" si="21"/>
        <v/>
      </c>
      <c r="N85" s="7" t="str">
        <f t="shared" si="21"/>
        <v/>
      </c>
      <c r="O85" s="7" t="str">
        <f t="shared" si="21"/>
        <v/>
      </c>
      <c r="P85" s="7" t="str">
        <f t="shared" si="21"/>
        <v/>
      </c>
      <c r="Q85" s="7" t="str">
        <f t="shared" si="21"/>
        <v/>
      </c>
      <c r="R85" s="7" t="str">
        <f t="shared" si="21"/>
        <v/>
      </c>
      <c r="S85" s="7" t="str">
        <f t="shared" si="29"/>
        <v/>
      </c>
      <c r="T85" s="7" t="str">
        <f t="shared" si="29"/>
        <v/>
      </c>
      <c r="U85" s="7" t="str">
        <f t="shared" si="29"/>
        <v>P</v>
      </c>
      <c r="V85" s="7" t="str">
        <f t="shared" si="29"/>
        <v>C</v>
      </c>
      <c r="W85" s="7" t="str">
        <f t="shared" si="29"/>
        <v/>
      </c>
      <c r="X85" s="7" t="str">
        <f t="shared" si="29"/>
        <v/>
      </c>
    </row>
    <row r="86" spans="1:24" ht="15" customHeight="1" x14ac:dyDescent="0.25">
      <c r="A86" s="7">
        <v>69</v>
      </c>
      <c r="B86" s="7">
        <v>4</v>
      </c>
      <c r="C86" s="8" t="s">
        <v>105</v>
      </c>
      <c r="D86" s="8" t="s">
        <v>91</v>
      </c>
      <c r="E86" s="29">
        <f t="shared" si="22"/>
        <v>46509</v>
      </c>
      <c r="F86" s="29">
        <f t="shared" si="23"/>
        <v>46504</v>
      </c>
      <c r="G86" s="29">
        <f t="shared" si="24"/>
        <v>46489</v>
      </c>
      <c r="H86" s="29">
        <f t="shared" si="25"/>
        <v>46484</v>
      </c>
      <c r="I86" s="29">
        <f t="shared" si="26"/>
        <v>46454</v>
      </c>
      <c r="J86" s="29">
        <f t="shared" si="27"/>
        <v>46516</v>
      </c>
      <c r="K86" s="7" t="str">
        <f t="shared" ca="1" si="28"/>
        <v>OK</v>
      </c>
      <c r="M86" s="7" t="str">
        <f t="shared" si="21"/>
        <v/>
      </c>
      <c r="N86" s="7" t="str">
        <f t="shared" si="21"/>
        <v/>
      </c>
      <c r="O86" s="7" t="str">
        <f t="shared" si="21"/>
        <v/>
      </c>
      <c r="P86" s="7" t="str">
        <f t="shared" si="21"/>
        <v/>
      </c>
      <c r="Q86" s="7" t="str">
        <f t="shared" si="21"/>
        <v/>
      </c>
      <c r="R86" s="7" t="str">
        <f t="shared" si="21"/>
        <v/>
      </c>
      <c r="S86" s="7" t="str">
        <f t="shared" si="29"/>
        <v/>
      </c>
      <c r="T86" s="7" t="str">
        <f t="shared" si="29"/>
        <v/>
      </c>
      <c r="U86" s="7" t="str">
        <f t="shared" si="29"/>
        <v>P</v>
      </c>
      <c r="V86" s="7" t="str">
        <f t="shared" si="29"/>
        <v>P</v>
      </c>
      <c r="W86" s="7" t="str">
        <f t="shared" si="29"/>
        <v>C</v>
      </c>
      <c r="X86" s="7" t="str">
        <f t="shared" si="29"/>
        <v/>
      </c>
    </row>
    <row r="87" spans="1:24" ht="15" customHeight="1" x14ac:dyDescent="0.25">
      <c r="A87" s="7">
        <v>70</v>
      </c>
      <c r="B87" s="7">
        <v>4</v>
      </c>
      <c r="C87" s="8" t="s">
        <v>106</v>
      </c>
      <c r="D87" s="8" t="s">
        <v>85</v>
      </c>
      <c r="E87" s="29">
        <f t="shared" si="22"/>
        <v>46512</v>
      </c>
      <c r="F87" s="29">
        <f t="shared" si="23"/>
        <v>46507</v>
      </c>
      <c r="G87" s="29">
        <f t="shared" si="24"/>
        <v>46492</v>
      </c>
      <c r="H87" s="29">
        <f t="shared" si="25"/>
        <v>46487</v>
      </c>
      <c r="I87" s="29">
        <f t="shared" si="26"/>
        <v>46457</v>
      </c>
      <c r="J87" s="29">
        <f t="shared" si="27"/>
        <v>46519</v>
      </c>
      <c r="K87" s="7" t="str">
        <f t="shared" ca="1" si="28"/>
        <v>OK</v>
      </c>
      <c r="M87" s="7" t="str">
        <f t="shared" si="21"/>
        <v/>
      </c>
      <c r="N87" s="7" t="str">
        <f t="shared" si="21"/>
        <v/>
      </c>
      <c r="O87" s="7" t="str">
        <f t="shared" si="21"/>
        <v/>
      </c>
      <c r="P87" s="7" t="str">
        <f t="shared" si="21"/>
        <v/>
      </c>
      <c r="Q87" s="7" t="str">
        <f t="shared" si="21"/>
        <v/>
      </c>
      <c r="R87" s="7" t="str">
        <f t="shared" si="21"/>
        <v/>
      </c>
      <c r="S87" s="7" t="str">
        <f t="shared" si="29"/>
        <v/>
      </c>
      <c r="T87" s="7" t="str">
        <f t="shared" si="29"/>
        <v/>
      </c>
      <c r="U87" s="7" t="str">
        <f t="shared" si="29"/>
        <v>P</v>
      </c>
      <c r="V87" s="7" t="str">
        <f t="shared" si="29"/>
        <v>P</v>
      </c>
      <c r="W87" s="7" t="str">
        <f t="shared" si="29"/>
        <v>C</v>
      </c>
      <c r="X87" s="7" t="str">
        <f t="shared" si="29"/>
        <v/>
      </c>
    </row>
    <row r="88" spans="1:24" ht="15" customHeight="1" x14ac:dyDescent="0.25">
      <c r="A88" s="7">
        <v>71</v>
      </c>
      <c r="B88" s="7">
        <v>4</v>
      </c>
      <c r="C88" s="8" t="s">
        <v>106</v>
      </c>
      <c r="D88" s="8" t="s">
        <v>85</v>
      </c>
      <c r="E88" s="29">
        <f t="shared" si="22"/>
        <v>46515</v>
      </c>
      <c r="F88" s="29">
        <f t="shared" si="23"/>
        <v>46510</v>
      </c>
      <c r="G88" s="29">
        <f t="shared" si="24"/>
        <v>46495</v>
      </c>
      <c r="H88" s="29">
        <f t="shared" si="25"/>
        <v>46490</v>
      </c>
      <c r="I88" s="29">
        <f t="shared" si="26"/>
        <v>46460</v>
      </c>
      <c r="J88" s="29">
        <f t="shared" si="27"/>
        <v>46522</v>
      </c>
      <c r="K88" s="7" t="str">
        <f t="shared" ca="1" si="28"/>
        <v>OK</v>
      </c>
      <c r="M88" s="7" t="str">
        <f t="shared" si="21"/>
        <v/>
      </c>
      <c r="N88" s="7" t="str">
        <f t="shared" si="21"/>
        <v/>
      </c>
      <c r="O88" s="7" t="str">
        <f t="shared" si="21"/>
        <v/>
      </c>
      <c r="P88" s="7" t="str">
        <f t="shared" si="21"/>
        <v/>
      </c>
      <c r="Q88" s="7" t="str">
        <f t="shared" si="21"/>
        <v/>
      </c>
      <c r="R88" s="7" t="str">
        <f t="shared" si="21"/>
        <v/>
      </c>
      <c r="S88" s="7" t="str">
        <f t="shared" si="29"/>
        <v/>
      </c>
      <c r="T88" s="7" t="str">
        <f t="shared" si="29"/>
        <v/>
      </c>
      <c r="U88" s="7" t="str">
        <f t="shared" si="29"/>
        <v>P</v>
      </c>
      <c r="V88" s="7" t="str">
        <f t="shared" si="29"/>
        <v>P</v>
      </c>
      <c r="W88" s="7" t="str">
        <f t="shared" si="29"/>
        <v>C</v>
      </c>
      <c r="X88" s="7" t="str">
        <f t="shared" si="29"/>
        <v/>
      </c>
    </row>
    <row r="89" spans="1:24" ht="15" customHeight="1" x14ac:dyDescent="0.25">
      <c r="A89" s="7">
        <v>72</v>
      </c>
      <c r="B89" s="7">
        <v>4</v>
      </c>
      <c r="C89" s="8" t="s">
        <v>106</v>
      </c>
      <c r="D89" s="8" t="s">
        <v>85</v>
      </c>
      <c r="E89" s="29">
        <f t="shared" si="22"/>
        <v>46518</v>
      </c>
      <c r="F89" s="29">
        <f t="shared" si="23"/>
        <v>46513</v>
      </c>
      <c r="G89" s="29">
        <f t="shared" si="24"/>
        <v>46498</v>
      </c>
      <c r="H89" s="29">
        <f t="shared" si="25"/>
        <v>46493</v>
      </c>
      <c r="I89" s="29">
        <f t="shared" si="26"/>
        <v>46463</v>
      </c>
      <c r="J89" s="29">
        <f t="shared" si="27"/>
        <v>46525</v>
      </c>
      <c r="K89" s="7" t="str">
        <f t="shared" ca="1" si="28"/>
        <v>OK</v>
      </c>
      <c r="M89" s="7" t="str">
        <f t="shared" si="21"/>
        <v/>
      </c>
      <c r="N89" s="7" t="str">
        <f t="shared" si="21"/>
        <v/>
      </c>
      <c r="O89" s="7" t="str">
        <f t="shared" si="21"/>
        <v/>
      </c>
      <c r="P89" s="7" t="str">
        <f t="shared" si="21"/>
        <v/>
      </c>
      <c r="Q89" s="7" t="str">
        <f t="shared" si="21"/>
        <v/>
      </c>
      <c r="R89" s="7" t="str">
        <f t="shared" si="21"/>
        <v/>
      </c>
      <c r="S89" s="7" t="str">
        <f t="shared" si="29"/>
        <v/>
      </c>
      <c r="T89" s="7" t="str">
        <f t="shared" si="29"/>
        <v/>
      </c>
      <c r="U89" s="7" t="str">
        <f t="shared" si="29"/>
        <v>P</v>
      </c>
      <c r="V89" s="7" t="str">
        <f t="shared" si="29"/>
        <v>P</v>
      </c>
      <c r="W89" s="7" t="str">
        <f t="shared" si="29"/>
        <v>C</v>
      </c>
      <c r="X89" s="7" t="str">
        <f t="shared" si="29"/>
        <v/>
      </c>
    </row>
    <row r="90" spans="1:24" ht="15" customHeight="1" x14ac:dyDescent="0.25">
      <c r="A90" s="7">
        <v>73</v>
      </c>
      <c r="B90" s="7">
        <v>4</v>
      </c>
      <c r="C90" s="8" t="s">
        <v>106</v>
      </c>
      <c r="D90" s="8" t="s">
        <v>87</v>
      </c>
      <c r="E90" s="29">
        <f t="shared" si="22"/>
        <v>46521</v>
      </c>
      <c r="F90" s="29">
        <f t="shared" si="23"/>
        <v>46516</v>
      </c>
      <c r="G90" s="29">
        <f t="shared" si="24"/>
        <v>46501</v>
      </c>
      <c r="H90" s="29">
        <f t="shared" si="25"/>
        <v>46496</v>
      </c>
      <c r="I90" s="29">
        <f t="shared" si="26"/>
        <v>46466</v>
      </c>
      <c r="J90" s="29">
        <f t="shared" si="27"/>
        <v>46528</v>
      </c>
      <c r="K90" s="7" t="str">
        <f t="shared" ca="1" si="28"/>
        <v>OK</v>
      </c>
      <c r="M90" s="7" t="str">
        <f t="shared" si="21"/>
        <v/>
      </c>
      <c r="N90" s="7" t="str">
        <f t="shared" si="21"/>
        <v/>
      </c>
      <c r="O90" s="7" t="str">
        <f t="shared" si="21"/>
        <v/>
      </c>
      <c r="P90" s="7" t="str">
        <f t="shared" si="21"/>
        <v/>
      </c>
      <c r="Q90" s="7" t="str">
        <f t="shared" si="21"/>
        <v/>
      </c>
      <c r="R90" s="7" t="str">
        <f t="shared" si="21"/>
        <v/>
      </c>
      <c r="S90" s="7" t="str">
        <f t="shared" si="29"/>
        <v/>
      </c>
      <c r="T90" s="7" t="str">
        <f t="shared" si="29"/>
        <v/>
      </c>
      <c r="U90" s="7" t="str">
        <f t="shared" si="29"/>
        <v>P</v>
      </c>
      <c r="V90" s="7" t="str">
        <f t="shared" si="29"/>
        <v>P</v>
      </c>
      <c r="W90" s="7" t="str">
        <f t="shared" si="29"/>
        <v>C</v>
      </c>
      <c r="X90" s="7" t="str">
        <f t="shared" si="29"/>
        <v/>
      </c>
    </row>
    <row r="91" spans="1:24" ht="15" customHeight="1" x14ac:dyDescent="0.25">
      <c r="A91" s="7">
        <v>74</v>
      </c>
      <c r="B91" s="7">
        <v>4</v>
      </c>
      <c r="C91" s="8" t="s">
        <v>107</v>
      </c>
      <c r="D91" s="8" t="s">
        <v>85</v>
      </c>
      <c r="E91" s="29">
        <f t="shared" si="22"/>
        <v>46524</v>
      </c>
      <c r="F91" s="29">
        <f t="shared" si="23"/>
        <v>46519</v>
      </c>
      <c r="G91" s="29">
        <f t="shared" si="24"/>
        <v>46504</v>
      </c>
      <c r="H91" s="29">
        <f t="shared" si="25"/>
        <v>46499</v>
      </c>
      <c r="I91" s="29">
        <f t="shared" si="26"/>
        <v>46469</v>
      </c>
      <c r="J91" s="29">
        <f t="shared" si="27"/>
        <v>46531</v>
      </c>
      <c r="K91" s="7" t="str">
        <f t="shared" ca="1" si="28"/>
        <v>OK</v>
      </c>
      <c r="M91" s="7" t="str">
        <f t="shared" si="21"/>
        <v/>
      </c>
      <c r="N91" s="7" t="str">
        <f t="shared" si="21"/>
        <v/>
      </c>
      <c r="O91" s="7" t="str">
        <f t="shared" si="21"/>
        <v/>
      </c>
      <c r="P91" s="7" t="str">
        <f t="shared" si="21"/>
        <v/>
      </c>
      <c r="Q91" s="7" t="str">
        <f t="shared" si="21"/>
        <v/>
      </c>
      <c r="R91" s="7" t="str">
        <f t="shared" si="21"/>
        <v/>
      </c>
      <c r="S91" s="7" t="str">
        <f t="shared" si="29"/>
        <v/>
      </c>
      <c r="T91" s="7" t="str">
        <f t="shared" si="29"/>
        <v/>
      </c>
      <c r="U91" s="7" t="str">
        <f t="shared" si="29"/>
        <v>P</v>
      </c>
      <c r="V91" s="7" t="str">
        <f t="shared" si="29"/>
        <v>P</v>
      </c>
      <c r="W91" s="7" t="str">
        <f t="shared" si="29"/>
        <v>C</v>
      </c>
      <c r="X91" s="7" t="str">
        <f t="shared" si="29"/>
        <v/>
      </c>
    </row>
    <row r="92" spans="1:24" ht="15" customHeight="1" x14ac:dyDescent="0.25">
      <c r="A92" s="7">
        <v>75</v>
      </c>
      <c r="B92" s="7">
        <v>4</v>
      </c>
      <c r="C92" s="8" t="s">
        <v>107</v>
      </c>
      <c r="D92" s="8" t="s">
        <v>85</v>
      </c>
      <c r="E92" s="29">
        <f t="shared" si="22"/>
        <v>46527</v>
      </c>
      <c r="F92" s="29">
        <f t="shared" si="23"/>
        <v>46522</v>
      </c>
      <c r="G92" s="29">
        <f t="shared" si="24"/>
        <v>46507</v>
      </c>
      <c r="H92" s="29">
        <f t="shared" si="25"/>
        <v>46502</v>
      </c>
      <c r="I92" s="29">
        <f t="shared" si="26"/>
        <v>46472</v>
      </c>
      <c r="J92" s="29">
        <f t="shared" si="27"/>
        <v>46534</v>
      </c>
      <c r="K92" s="7" t="str">
        <f t="shared" ca="1" si="28"/>
        <v>OK</v>
      </c>
      <c r="M92" s="7" t="str">
        <f t="shared" si="21"/>
        <v/>
      </c>
      <c r="N92" s="7" t="str">
        <f t="shared" si="21"/>
        <v/>
      </c>
      <c r="O92" s="7" t="str">
        <f t="shared" si="21"/>
        <v/>
      </c>
      <c r="P92" s="7" t="str">
        <f t="shared" si="21"/>
        <v/>
      </c>
      <c r="Q92" s="7" t="str">
        <f t="shared" si="21"/>
        <v/>
      </c>
      <c r="R92" s="7" t="str">
        <f t="shared" si="21"/>
        <v/>
      </c>
      <c r="S92" s="7" t="str">
        <f t="shared" si="29"/>
        <v/>
      </c>
      <c r="T92" s="7" t="str">
        <f t="shared" si="29"/>
        <v/>
      </c>
      <c r="U92" s="7" t="str">
        <f t="shared" si="29"/>
        <v>P</v>
      </c>
      <c r="V92" s="7" t="str">
        <f t="shared" si="29"/>
        <v>P</v>
      </c>
      <c r="W92" s="7" t="str">
        <f t="shared" si="29"/>
        <v>C</v>
      </c>
      <c r="X92" s="7" t="str">
        <f t="shared" si="29"/>
        <v/>
      </c>
    </row>
    <row r="93" spans="1:24" ht="15" customHeight="1" x14ac:dyDescent="0.25">
      <c r="A93" s="7">
        <v>76</v>
      </c>
      <c r="B93" s="7">
        <v>4</v>
      </c>
      <c r="C93" s="8" t="s">
        <v>107</v>
      </c>
      <c r="D93" s="8" t="s">
        <v>85</v>
      </c>
      <c r="E93" s="29">
        <f t="shared" si="22"/>
        <v>46530</v>
      </c>
      <c r="F93" s="29">
        <f t="shared" si="23"/>
        <v>46525</v>
      </c>
      <c r="G93" s="29">
        <f t="shared" si="24"/>
        <v>46510</v>
      </c>
      <c r="H93" s="29">
        <f t="shared" si="25"/>
        <v>46505</v>
      </c>
      <c r="I93" s="29">
        <f t="shared" si="26"/>
        <v>46475</v>
      </c>
      <c r="J93" s="29">
        <f t="shared" si="27"/>
        <v>46537</v>
      </c>
      <c r="K93" s="7" t="str">
        <f t="shared" ca="1" si="28"/>
        <v>OK</v>
      </c>
      <c r="M93" s="7" t="str">
        <f t="shared" si="21"/>
        <v/>
      </c>
      <c r="N93" s="7" t="str">
        <f t="shared" si="21"/>
        <v/>
      </c>
      <c r="O93" s="7" t="str">
        <f t="shared" si="21"/>
        <v/>
      </c>
      <c r="P93" s="7" t="str">
        <f t="shared" si="21"/>
        <v/>
      </c>
      <c r="Q93" s="7" t="str">
        <f t="shared" si="21"/>
        <v/>
      </c>
      <c r="R93" s="7" t="str">
        <f t="shared" si="21"/>
        <v/>
      </c>
      <c r="S93" s="7" t="str">
        <f t="shared" si="29"/>
        <v/>
      </c>
      <c r="T93" s="7" t="str">
        <f t="shared" si="29"/>
        <v/>
      </c>
      <c r="U93" s="7" t="str">
        <f t="shared" si="29"/>
        <v>P</v>
      </c>
      <c r="V93" s="7" t="str">
        <f t="shared" si="29"/>
        <v>P</v>
      </c>
      <c r="W93" s="7" t="str">
        <f t="shared" si="29"/>
        <v>C</v>
      </c>
      <c r="X93" s="7" t="str">
        <f t="shared" si="29"/>
        <v/>
      </c>
    </row>
    <row r="94" spans="1:24" ht="15" customHeight="1" x14ac:dyDescent="0.25">
      <c r="A94" s="7">
        <v>77</v>
      </c>
      <c r="B94" s="7">
        <v>4</v>
      </c>
      <c r="C94" s="8" t="s">
        <v>107</v>
      </c>
      <c r="D94" s="8" t="s">
        <v>85</v>
      </c>
      <c r="E94" s="29">
        <f t="shared" si="22"/>
        <v>46533</v>
      </c>
      <c r="F94" s="29">
        <f t="shared" si="23"/>
        <v>46528</v>
      </c>
      <c r="G94" s="29">
        <f t="shared" si="24"/>
        <v>46513</v>
      </c>
      <c r="H94" s="29">
        <f t="shared" si="25"/>
        <v>46508</v>
      </c>
      <c r="I94" s="29">
        <f t="shared" si="26"/>
        <v>46478</v>
      </c>
      <c r="J94" s="29">
        <f t="shared" si="27"/>
        <v>46540</v>
      </c>
      <c r="K94" s="7" t="str">
        <f t="shared" ca="1" si="28"/>
        <v>OK</v>
      </c>
      <c r="M94" s="7" t="str">
        <f t="shared" si="21"/>
        <v/>
      </c>
      <c r="N94" s="7" t="str">
        <f t="shared" si="21"/>
        <v/>
      </c>
      <c r="O94" s="7" t="str">
        <f t="shared" si="21"/>
        <v/>
      </c>
      <c r="P94" s="7" t="str">
        <f t="shared" si="21"/>
        <v/>
      </c>
      <c r="Q94" s="7" t="str">
        <f t="shared" si="21"/>
        <v/>
      </c>
      <c r="R94" s="7" t="str">
        <f t="shared" si="21"/>
        <v/>
      </c>
      <c r="S94" s="7" t="str">
        <f t="shared" si="29"/>
        <v/>
      </c>
      <c r="T94" s="7" t="str">
        <f t="shared" si="29"/>
        <v/>
      </c>
      <c r="U94" s="7" t="str">
        <f t="shared" si="29"/>
        <v/>
      </c>
      <c r="V94" s="7" t="str">
        <f t="shared" si="29"/>
        <v>P</v>
      </c>
      <c r="W94" s="7" t="str">
        <f t="shared" si="29"/>
        <v>C</v>
      </c>
      <c r="X94" s="7" t="str">
        <f t="shared" si="29"/>
        <v/>
      </c>
    </row>
    <row r="95" spans="1:24" ht="15" customHeight="1" x14ac:dyDescent="0.25">
      <c r="A95" s="7">
        <v>78</v>
      </c>
      <c r="B95" s="7">
        <v>4</v>
      </c>
      <c r="C95" s="8" t="s">
        <v>107</v>
      </c>
      <c r="D95" s="8" t="s">
        <v>85</v>
      </c>
      <c r="E95" s="29">
        <f t="shared" si="22"/>
        <v>46536</v>
      </c>
      <c r="F95" s="29">
        <f t="shared" si="23"/>
        <v>46531</v>
      </c>
      <c r="G95" s="29">
        <f t="shared" si="24"/>
        <v>46516</v>
      </c>
      <c r="H95" s="29">
        <f t="shared" si="25"/>
        <v>46511</v>
      </c>
      <c r="I95" s="29">
        <f t="shared" si="26"/>
        <v>46481</v>
      </c>
      <c r="J95" s="29">
        <f t="shared" si="27"/>
        <v>46543</v>
      </c>
      <c r="K95" s="7" t="str">
        <f t="shared" ca="1" si="28"/>
        <v>OK</v>
      </c>
      <c r="M95" s="7" t="str">
        <f t="shared" si="21"/>
        <v/>
      </c>
      <c r="N95" s="7" t="str">
        <f t="shared" si="21"/>
        <v/>
      </c>
      <c r="O95" s="7" t="str">
        <f t="shared" si="21"/>
        <v/>
      </c>
      <c r="P95" s="7" t="str">
        <f t="shared" si="21"/>
        <v/>
      </c>
      <c r="Q95" s="7" t="str">
        <f t="shared" si="21"/>
        <v/>
      </c>
      <c r="R95" s="7" t="str">
        <f t="shared" si="21"/>
        <v/>
      </c>
      <c r="S95" s="7" t="str">
        <f t="shared" si="29"/>
        <v/>
      </c>
      <c r="T95" s="7" t="str">
        <f t="shared" si="29"/>
        <v/>
      </c>
      <c r="U95" s="7" t="str">
        <f t="shared" si="29"/>
        <v/>
      </c>
      <c r="V95" s="7" t="str">
        <f t="shared" si="29"/>
        <v>P</v>
      </c>
      <c r="W95" s="7" t="str">
        <f t="shared" si="29"/>
        <v>C</v>
      </c>
      <c r="X95" s="7" t="str">
        <f t="shared" si="29"/>
        <v/>
      </c>
    </row>
    <row r="96" spans="1:24" ht="15" customHeight="1" x14ac:dyDescent="0.25">
      <c r="A96" s="7">
        <v>79</v>
      </c>
      <c r="B96" s="7">
        <v>4</v>
      </c>
      <c r="C96" s="8" t="s">
        <v>107</v>
      </c>
      <c r="D96" s="8" t="s">
        <v>85</v>
      </c>
      <c r="E96" s="29">
        <f t="shared" si="22"/>
        <v>46539</v>
      </c>
      <c r="F96" s="29">
        <f t="shared" si="23"/>
        <v>46534</v>
      </c>
      <c r="G96" s="29">
        <f t="shared" si="24"/>
        <v>46519</v>
      </c>
      <c r="H96" s="29">
        <f t="shared" si="25"/>
        <v>46514</v>
      </c>
      <c r="I96" s="29">
        <f t="shared" si="26"/>
        <v>46484</v>
      </c>
      <c r="J96" s="29">
        <f t="shared" si="27"/>
        <v>46546</v>
      </c>
      <c r="K96" s="7" t="str">
        <f t="shared" ca="1" si="28"/>
        <v>OK</v>
      </c>
      <c r="M96" s="7" t="str">
        <f t="shared" si="21"/>
        <v/>
      </c>
      <c r="N96" s="7" t="str">
        <f t="shared" si="21"/>
        <v/>
      </c>
      <c r="O96" s="7" t="str">
        <f t="shared" si="21"/>
        <v/>
      </c>
      <c r="P96" s="7" t="str">
        <f t="shared" si="21"/>
        <v/>
      </c>
      <c r="Q96" s="7" t="str">
        <f t="shared" si="21"/>
        <v/>
      </c>
      <c r="R96" s="7" t="str">
        <f t="shared" si="21"/>
        <v/>
      </c>
      <c r="S96" s="7" t="str">
        <f t="shared" si="29"/>
        <v/>
      </c>
      <c r="T96" s="7" t="str">
        <f t="shared" si="29"/>
        <v/>
      </c>
      <c r="U96" s="7" t="str">
        <f t="shared" si="29"/>
        <v/>
      </c>
      <c r="V96" s="7" t="str">
        <f t="shared" si="29"/>
        <v>P</v>
      </c>
      <c r="W96" s="7" t="str">
        <f t="shared" si="29"/>
        <v>P</v>
      </c>
      <c r="X96" s="7" t="str">
        <f t="shared" si="29"/>
        <v>C</v>
      </c>
    </row>
    <row r="97" spans="1:24" ht="15" customHeight="1" x14ac:dyDescent="0.25">
      <c r="A97" s="7">
        <v>80</v>
      </c>
      <c r="B97" s="7">
        <v>4</v>
      </c>
      <c r="C97" s="8" t="s">
        <v>107</v>
      </c>
      <c r="D97" s="8" t="s">
        <v>87</v>
      </c>
      <c r="E97" s="29">
        <f t="shared" si="22"/>
        <v>46542</v>
      </c>
      <c r="F97" s="29">
        <f t="shared" si="23"/>
        <v>46537</v>
      </c>
      <c r="G97" s="29">
        <f t="shared" si="24"/>
        <v>46522</v>
      </c>
      <c r="H97" s="29">
        <f t="shared" si="25"/>
        <v>46517</v>
      </c>
      <c r="I97" s="29">
        <f t="shared" si="26"/>
        <v>46487</v>
      </c>
      <c r="J97" s="29">
        <f t="shared" si="27"/>
        <v>46549</v>
      </c>
      <c r="K97" s="7" t="str">
        <f t="shared" ca="1" si="28"/>
        <v>OK</v>
      </c>
      <c r="M97" s="7" t="str">
        <f t="shared" si="21"/>
        <v/>
      </c>
      <c r="N97" s="7" t="str">
        <f t="shared" si="21"/>
        <v/>
      </c>
      <c r="O97" s="7" t="str">
        <f t="shared" si="21"/>
        <v/>
      </c>
      <c r="P97" s="7" t="str">
        <f t="shared" si="21"/>
        <v/>
      </c>
      <c r="Q97" s="7" t="str">
        <f t="shared" si="21"/>
        <v/>
      </c>
      <c r="R97" s="7" t="str">
        <f t="shared" si="21"/>
        <v/>
      </c>
      <c r="S97" s="7" t="str">
        <f t="shared" si="29"/>
        <v/>
      </c>
      <c r="T97" s="7" t="str">
        <f t="shared" si="29"/>
        <v/>
      </c>
      <c r="U97" s="7" t="str">
        <f t="shared" si="29"/>
        <v/>
      </c>
      <c r="V97" s="7" t="str">
        <f t="shared" si="29"/>
        <v>P</v>
      </c>
      <c r="W97" s="7" t="str">
        <f t="shared" si="29"/>
        <v>P</v>
      </c>
      <c r="X97" s="7" t="str">
        <f t="shared" si="29"/>
        <v>C</v>
      </c>
    </row>
    <row r="98" spans="1:24" ht="15" customHeight="1" x14ac:dyDescent="0.25">
      <c r="A98" s="7">
        <v>81</v>
      </c>
      <c r="B98" s="7">
        <v>4</v>
      </c>
      <c r="C98" s="8" t="s">
        <v>107</v>
      </c>
      <c r="D98" s="8" t="s">
        <v>87</v>
      </c>
      <c r="E98" s="29">
        <f t="shared" si="22"/>
        <v>46545</v>
      </c>
      <c r="F98" s="29">
        <f t="shared" si="23"/>
        <v>46540</v>
      </c>
      <c r="G98" s="29">
        <f t="shared" si="24"/>
        <v>46525</v>
      </c>
      <c r="H98" s="29">
        <f t="shared" si="25"/>
        <v>46520</v>
      </c>
      <c r="I98" s="29">
        <f t="shared" si="26"/>
        <v>46490</v>
      </c>
      <c r="J98" s="29">
        <f t="shared" si="27"/>
        <v>46552</v>
      </c>
      <c r="K98" s="7" t="str">
        <f t="shared" ca="1" si="28"/>
        <v>OK</v>
      </c>
      <c r="M98" s="7" t="str">
        <f t="shared" si="21"/>
        <v/>
      </c>
      <c r="N98" s="7" t="str">
        <f t="shared" si="21"/>
        <v/>
      </c>
      <c r="O98" s="7" t="str">
        <f t="shared" si="21"/>
        <v/>
      </c>
      <c r="P98" s="7" t="str">
        <f t="shared" si="21"/>
        <v/>
      </c>
      <c r="Q98" s="7" t="str">
        <f t="shared" si="21"/>
        <v/>
      </c>
      <c r="R98" s="7" t="str">
        <f t="shared" si="21"/>
        <v/>
      </c>
      <c r="S98" s="7" t="str">
        <f t="shared" si="29"/>
        <v/>
      </c>
      <c r="T98" s="7" t="str">
        <f t="shared" si="29"/>
        <v/>
      </c>
      <c r="U98" s="7" t="str">
        <f t="shared" si="29"/>
        <v/>
      </c>
      <c r="V98" s="7" t="str">
        <f t="shared" si="29"/>
        <v>P</v>
      </c>
      <c r="W98" s="7" t="str">
        <f t="shared" si="29"/>
        <v>P</v>
      </c>
      <c r="X98" s="7" t="str">
        <f t="shared" si="29"/>
        <v>C</v>
      </c>
    </row>
    <row r="99" spans="1:24" ht="15" customHeight="1" x14ac:dyDescent="0.25">
      <c r="A99" s="7">
        <v>82</v>
      </c>
      <c r="B99" s="7">
        <v>4</v>
      </c>
      <c r="C99" s="8" t="s">
        <v>108</v>
      </c>
      <c r="D99" s="8" t="s">
        <v>85</v>
      </c>
      <c r="E99" s="29">
        <f t="shared" si="22"/>
        <v>46548</v>
      </c>
      <c r="F99" s="29">
        <f t="shared" si="23"/>
        <v>46543</v>
      </c>
      <c r="G99" s="29">
        <f t="shared" si="24"/>
        <v>46528</v>
      </c>
      <c r="H99" s="29">
        <f t="shared" si="25"/>
        <v>46523</v>
      </c>
      <c r="I99" s="29">
        <f t="shared" si="26"/>
        <v>46493</v>
      </c>
      <c r="J99" s="29">
        <f t="shared" si="27"/>
        <v>46555</v>
      </c>
      <c r="K99" s="7" t="str">
        <f t="shared" ca="1" si="28"/>
        <v>OK</v>
      </c>
      <c r="M99" s="7" t="str">
        <f t="shared" si="21"/>
        <v/>
      </c>
      <c r="N99" s="7" t="str">
        <f t="shared" si="21"/>
        <v/>
      </c>
      <c r="O99" s="7" t="str">
        <f t="shared" si="21"/>
        <v/>
      </c>
      <c r="P99" s="7" t="str">
        <f t="shared" si="21"/>
        <v/>
      </c>
      <c r="Q99" s="7" t="str">
        <f t="shared" si="21"/>
        <v/>
      </c>
      <c r="R99" s="7" t="str">
        <f t="shared" si="21"/>
        <v/>
      </c>
      <c r="S99" s="7" t="str">
        <f t="shared" si="29"/>
        <v/>
      </c>
      <c r="T99" s="7" t="str">
        <f t="shared" si="29"/>
        <v/>
      </c>
      <c r="U99" s="7" t="str">
        <f t="shared" si="29"/>
        <v/>
      </c>
      <c r="V99" s="7" t="str">
        <f t="shared" si="29"/>
        <v>P</v>
      </c>
      <c r="W99" s="7" t="str">
        <f t="shared" si="29"/>
        <v>P</v>
      </c>
      <c r="X99" s="7" t="str">
        <f t="shared" si="29"/>
        <v>C</v>
      </c>
    </row>
    <row r="100" spans="1:24" ht="15" customHeight="1" x14ac:dyDescent="0.25">
      <c r="A100" s="7">
        <v>83</v>
      </c>
      <c r="B100" s="7">
        <v>4</v>
      </c>
      <c r="C100" s="8" t="s">
        <v>109</v>
      </c>
      <c r="D100" s="8" t="s">
        <v>85</v>
      </c>
      <c r="E100" s="29">
        <f t="shared" si="22"/>
        <v>46551</v>
      </c>
      <c r="F100" s="29">
        <f t="shared" si="23"/>
        <v>46546</v>
      </c>
      <c r="G100" s="29">
        <f t="shared" si="24"/>
        <v>46531</v>
      </c>
      <c r="H100" s="29">
        <f t="shared" si="25"/>
        <v>46526</v>
      </c>
      <c r="I100" s="29">
        <f t="shared" si="26"/>
        <v>46496</v>
      </c>
      <c r="J100" s="29">
        <f t="shared" si="27"/>
        <v>46558</v>
      </c>
      <c r="K100" s="7" t="str">
        <f t="shared" ca="1" si="28"/>
        <v>OK</v>
      </c>
      <c r="M100" s="7" t="str">
        <f t="shared" si="21"/>
        <v/>
      </c>
      <c r="N100" s="7" t="str">
        <f t="shared" si="21"/>
        <v/>
      </c>
      <c r="O100" s="7" t="str">
        <f t="shared" si="21"/>
        <v/>
      </c>
      <c r="P100" s="7" t="str">
        <f t="shared" si="21"/>
        <v/>
      </c>
      <c r="Q100" s="7" t="str">
        <f t="shared" si="21"/>
        <v/>
      </c>
      <c r="R100" s="7" t="str">
        <f t="shared" si="21"/>
        <v/>
      </c>
      <c r="S100" s="7" t="str">
        <f t="shared" si="29"/>
        <v/>
      </c>
      <c r="T100" s="7" t="str">
        <f t="shared" si="29"/>
        <v/>
      </c>
      <c r="U100" s="7" t="str">
        <f t="shared" si="29"/>
        <v/>
      </c>
      <c r="V100" s="7" t="str">
        <f t="shared" si="29"/>
        <v>P</v>
      </c>
      <c r="W100" s="7" t="str">
        <f t="shared" si="29"/>
        <v>P</v>
      </c>
      <c r="X100" s="7" t="str">
        <f t="shared" si="29"/>
        <v>C</v>
      </c>
    </row>
    <row r="101" spans="1:24" ht="15" customHeight="1" x14ac:dyDescent="0.25">
      <c r="A101" s="7">
        <v>84</v>
      </c>
      <c r="B101" s="7">
        <v>4</v>
      </c>
      <c r="C101" s="8" t="s">
        <v>109</v>
      </c>
      <c r="D101" s="8" t="s">
        <v>85</v>
      </c>
      <c r="E101" s="29">
        <f t="shared" si="22"/>
        <v>46554</v>
      </c>
      <c r="F101" s="29">
        <f t="shared" si="23"/>
        <v>46549</v>
      </c>
      <c r="G101" s="29">
        <f t="shared" si="24"/>
        <v>46534</v>
      </c>
      <c r="H101" s="29">
        <f t="shared" si="25"/>
        <v>46529</v>
      </c>
      <c r="I101" s="29">
        <f t="shared" si="26"/>
        <v>46499</v>
      </c>
      <c r="J101" s="29">
        <f t="shared" si="27"/>
        <v>46561</v>
      </c>
      <c r="K101" s="7" t="str">
        <f t="shared" ca="1" si="28"/>
        <v>OK</v>
      </c>
      <c r="M101" s="7" t="str">
        <f t="shared" si="21"/>
        <v/>
      </c>
      <c r="N101" s="7" t="str">
        <f t="shared" si="21"/>
        <v/>
      </c>
      <c r="O101" s="7" t="str">
        <f t="shared" si="21"/>
        <v/>
      </c>
      <c r="P101" s="7" t="str">
        <f t="shared" si="21"/>
        <v/>
      </c>
      <c r="Q101" s="7" t="str">
        <f t="shared" si="21"/>
        <v/>
      </c>
      <c r="R101" s="7" t="str">
        <f t="shared" si="21"/>
        <v/>
      </c>
      <c r="S101" s="7" t="str">
        <f t="shared" si="29"/>
        <v/>
      </c>
      <c r="T101" s="7" t="str">
        <f t="shared" si="29"/>
        <v/>
      </c>
      <c r="U101" s="7" t="str">
        <f t="shared" si="29"/>
        <v/>
      </c>
      <c r="V101" s="7" t="str">
        <f t="shared" si="29"/>
        <v>P</v>
      </c>
      <c r="W101" s="7" t="str">
        <f t="shared" si="29"/>
        <v>P</v>
      </c>
      <c r="X101" s="7" t="str">
        <f t="shared" si="29"/>
        <v>C</v>
      </c>
    </row>
    <row r="102" spans="1:24" ht="15" customHeight="1" x14ac:dyDescent="0.25">
      <c r="A102" s="7">
        <v>85</v>
      </c>
      <c r="B102" s="7">
        <v>4</v>
      </c>
      <c r="C102" s="8" t="s">
        <v>109</v>
      </c>
      <c r="D102" s="8" t="s">
        <v>87</v>
      </c>
      <c r="E102" s="29">
        <f t="shared" si="22"/>
        <v>46557</v>
      </c>
      <c r="F102" s="29">
        <f t="shared" si="23"/>
        <v>46552</v>
      </c>
      <c r="G102" s="29">
        <f t="shared" si="24"/>
        <v>46537</v>
      </c>
      <c r="H102" s="29">
        <f t="shared" si="25"/>
        <v>46532</v>
      </c>
      <c r="I102" s="29">
        <f t="shared" si="26"/>
        <v>46502</v>
      </c>
      <c r="J102" s="29">
        <f t="shared" si="27"/>
        <v>46564</v>
      </c>
      <c r="K102" s="7" t="str">
        <f t="shared" ca="1" si="28"/>
        <v>OK</v>
      </c>
      <c r="M102" s="7" t="str">
        <f t="shared" si="21"/>
        <v/>
      </c>
      <c r="N102" s="7" t="str">
        <f t="shared" si="21"/>
        <v/>
      </c>
      <c r="O102" s="7" t="str">
        <f t="shared" si="21"/>
        <v/>
      </c>
      <c r="P102" s="7" t="str">
        <f t="shared" si="21"/>
        <v/>
      </c>
      <c r="Q102" s="7" t="str">
        <f t="shared" si="21"/>
        <v/>
      </c>
      <c r="R102" s="7" t="str">
        <f t="shared" si="21"/>
        <v/>
      </c>
      <c r="S102" s="7" t="str">
        <f t="shared" si="29"/>
        <v/>
      </c>
      <c r="T102" s="7" t="str">
        <f t="shared" si="29"/>
        <v/>
      </c>
      <c r="U102" s="7" t="str">
        <f t="shared" si="29"/>
        <v/>
      </c>
      <c r="V102" s="7" t="str">
        <f t="shared" si="29"/>
        <v>P</v>
      </c>
      <c r="W102" s="7" t="str">
        <f t="shared" si="29"/>
        <v>P</v>
      </c>
      <c r="X102" s="7" t="str">
        <f t="shared" si="29"/>
        <v>C</v>
      </c>
    </row>
    <row r="103" spans="1:24" ht="15" customHeight="1" x14ac:dyDescent="0.25">
      <c r="A103" s="7">
        <v>86</v>
      </c>
      <c r="B103" s="7">
        <v>4</v>
      </c>
      <c r="C103" s="8" t="s">
        <v>109</v>
      </c>
      <c r="D103" s="8" t="s">
        <v>87</v>
      </c>
      <c r="E103" s="29">
        <f t="shared" si="22"/>
        <v>46560</v>
      </c>
      <c r="F103" s="29">
        <f t="shared" si="23"/>
        <v>46555</v>
      </c>
      <c r="G103" s="29">
        <f t="shared" si="24"/>
        <v>46540</v>
      </c>
      <c r="H103" s="29">
        <f t="shared" si="25"/>
        <v>46535</v>
      </c>
      <c r="I103" s="29">
        <f t="shared" si="26"/>
        <v>46505</v>
      </c>
      <c r="J103" s="29">
        <f t="shared" si="27"/>
        <v>46567</v>
      </c>
      <c r="K103" s="7" t="str">
        <f t="shared" ca="1" si="28"/>
        <v>OK</v>
      </c>
      <c r="M103" s="7" t="str">
        <f t="shared" si="21"/>
        <v/>
      </c>
      <c r="N103" s="7" t="str">
        <f t="shared" si="21"/>
        <v/>
      </c>
      <c r="O103" s="7" t="str">
        <f t="shared" si="21"/>
        <v/>
      </c>
      <c r="P103" s="7" t="str">
        <f t="shared" si="21"/>
        <v/>
      </c>
      <c r="Q103" s="7" t="str">
        <f t="shared" si="21"/>
        <v/>
      </c>
      <c r="R103" s="7" t="str">
        <f t="shared" si="21"/>
        <v/>
      </c>
      <c r="S103" s="7" t="str">
        <f t="shared" si="29"/>
        <v/>
      </c>
      <c r="T103" s="7" t="str">
        <f t="shared" si="29"/>
        <v/>
      </c>
      <c r="U103" s="7" t="str">
        <f t="shared" si="29"/>
        <v/>
      </c>
      <c r="V103" s="7" t="str">
        <f t="shared" si="29"/>
        <v>P</v>
      </c>
      <c r="W103" s="7" t="str">
        <f t="shared" si="29"/>
        <v>P</v>
      </c>
      <c r="X103" s="7" t="str">
        <f t="shared" si="29"/>
        <v>C</v>
      </c>
    </row>
    <row r="104" spans="1:24" ht="15" customHeight="1" x14ac:dyDescent="0.25">
      <c r="A104" s="7">
        <v>87</v>
      </c>
      <c r="B104" s="7">
        <v>4</v>
      </c>
      <c r="C104" s="8" t="s">
        <v>110</v>
      </c>
      <c r="D104" s="8" t="s">
        <v>85</v>
      </c>
      <c r="E104" s="29">
        <f t="shared" si="22"/>
        <v>46563</v>
      </c>
      <c r="F104" s="29">
        <f t="shared" si="23"/>
        <v>46558</v>
      </c>
      <c r="G104" s="29">
        <f t="shared" si="24"/>
        <v>46543</v>
      </c>
      <c r="H104" s="29">
        <f t="shared" si="25"/>
        <v>46538</v>
      </c>
      <c r="I104" s="29">
        <f t="shared" si="26"/>
        <v>46508</v>
      </c>
      <c r="J104" s="29">
        <f t="shared" si="27"/>
        <v>46570</v>
      </c>
      <c r="K104" s="7" t="str">
        <f t="shared" ca="1" si="28"/>
        <v>OK</v>
      </c>
      <c r="M104" s="7" t="str">
        <f t="shared" si="21"/>
        <v/>
      </c>
      <c r="N104" s="7" t="str">
        <f t="shared" si="21"/>
        <v/>
      </c>
      <c r="O104" s="7" t="str">
        <f t="shared" si="21"/>
        <v/>
      </c>
      <c r="P104" s="7" t="str">
        <f t="shared" si="21"/>
        <v/>
      </c>
      <c r="Q104" s="7" t="str">
        <f t="shared" si="21"/>
        <v/>
      </c>
      <c r="R104" s="7" t="str">
        <f t="shared" si="21"/>
        <v/>
      </c>
      <c r="S104" s="7" t="str">
        <f t="shared" si="29"/>
        <v/>
      </c>
      <c r="T104" s="7" t="str">
        <f t="shared" si="29"/>
        <v/>
      </c>
      <c r="U104" s="7" t="str">
        <f t="shared" si="29"/>
        <v/>
      </c>
      <c r="V104" s="7" t="str">
        <f t="shared" si="29"/>
        <v/>
      </c>
      <c r="W104" s="7" t="str">
        <f t="shared" si="29"/>
        <v>P</v>
      </c>
      <c r="X104" s="7" t="str">
        <f t="shared" si="29"/>
        <v>C</v>
      </c>
    </row>
    <row r="105" spans="1:24" ht="15" customHeight="1" x14ac:dyDescent="0.25">
      <c r="A105" s="7">
        <v>88</v>
      </c>
      <c r="B105" s="7">
        <v>4</v>
      </c>
      <c r="C105" s="8" t="s">
        <v>110</v>
      </c>
      <c r="D105" s="8" t="s">
        <v>85</v>
      </c>
      <c r="E105" s="29">
        <f t="shared" si="22"/>
        <v>46566</v>
      </c>
      <c r="F105" s="29">
        <f t="shared" si="23"/>
        <v>46561</v>
      </c>
      <c r="G105" s="29">
        <f t="shared" si="24"/>
        <v>46546</v>
      </c>
      <c r="H105" s="29">
        <f t="shared" si="25"/>
        <v>46541</v>
      </c>
      <c r="I105" s="29">
        <f t="shared" si="26"/>
        <v>46511</v>
      </c>
      <c r="J105" s="29">
        <f t="shared" si="27"/>
        <v>46573</v>
      </c>
      <c r="K105" s="7" t="str">
        <f t="shared" ca="1" si="28"/>
        <v>OK</v>
      </c>
      <c r="M105" s="7" t="str">
        <f t="shared" si="21"/>
        <v/>
      </c>
      <c r="N105" s="7" t="str">
        <f t="shared" si="21"/>
        <v/>
      </c>
      <c r="O105" s="7" t="str">
        <f t="shared" si="21"/>
        <v/>
      </c>
      <c r="P105" s="7" t="str">
        <f t="shared" si="21"/>
        <v/>
      </c>
      <c r="Q105" s="7" t="str">
        <f t="shared" si="21"/>
        <v/>
      </c>
      <c r="R105" s="7" t="str">
        <f t="shared" si="21"/>
        <v/>
      </c>
      <c r="S105" s="7" t="str">
        <f t="shared" si="29"/>
        <v/>
      </c>
      <c r="T105" s="7" t="str">
        <f t="shared" si="29"/>
        <v/>
      </c>
      <c r="U105" s="7" t="str">
        <f t="shared" si="29"/>
        <v/>
      </c>
      <c r="V105" s="7" t="str">
        <f t="shared" si="29"/>
        <v/>
      </c>
      <c r="W105" s="7" t="str">
        <f t="shared" si="29"/>
        <v>P</v>
      </c>
      <c r="X105" s="7" t="str">
        <f t="shared" si="29"/>
        <v>C</v>
      </c>
    </row>
    <row r="106" spans="1:24" ht="15" customHeight="1" x14ac:dyDescent="0.25">
      <c r="A106" s="7">
        <v>89</v>
      </c>
      <c r="B106" s="7">
        <v>4</v>
      </c>
      <c r="C106" s="8" t="s">
        <v>110</v>
      </c>
      <c r="D106" s="8" t="s">
        <v>85</v>
      </c>
      <c r="E106" s="29">
        <f t="shared" si="22"/>
        <v>46569</v>
      </c>
      <c r="F106" s="29">
        <f t="shared" si="23"/>
        <v>46564</v>
      </c>
      <c r="G106" s="29">
        <f t="shared" si="24"/>
        <v>46549</v>
      </c>
      <c r="H106" s="29">
        <f t="shared" si="25"/>
        <v>46544</v>
      </c>
      <c r="I106" s="29">
        <f t="shared" si="26"/>
        <v>46514</v>
      </c>
      <c r="J106" s="29">
        <f t="shared" si="27"/>
        <v>46576</v>
      </c>
      <c r="K106" s="7" t="str">
        <f t="shared" ca="1" si="28"/>
        <v>OK</v>
      </c>
      <c r="M106" s="7" t="str">
        <f t="shared" si="21"/>
        <v/>
      </c>
      <c r="N106" s="7" t="str">
        <f t="shared" si="21"/>
        <v/>
      </c>
      <c r="O106" s="7" t="str">
        <f t="shared" si="21"/>
        <v/>
      </c>
      <c r="P106" s="7" t="str">
        <f t="shared" si="21"/>
        <v/>
      </c>
      <c r="Q106" s="7" t="str">
        <f t="shared" si="21"/>
        <v/>
      </c>
      <c r="R106" s="7" t="str">
        <f t="shared" si="21"/>
        <v/>
      </c>
      <c r="S106" s="7" t="str">
        <f t="shared" si="29"/>
        <v/>
      </c>
      <c r="T106" s="7" t="str">
        <f t="shared" si="29"/>
        <v/>
      </c>
      <c r="U106" s="7" t="str">
        <f t="shared" si="29"/>
        <v/>
      </c>
      <c r="V106" s="7" t="str">
        <f t="shared" si="29"/>
        <v/>
      </c>
      <c r="W106" s="7" t="str">
        <f t="shared" si="29"/>
        <v>P</v>
      </c>
      <c r="X106" s="7" t="str">
        <f t="shared" si="29"/>
        <v>P</v>
      </c>
    </row>
    <row r="107" spans="1:24" ht="15" customHeight="1" x14ac:dyDescent="0.25">
      <c r="A107" s="7">
        <v>90</v>
      </c>
      <c r="B107" s="7">
        <v>4</v>
      </c>
      <c r="C107" s="8" t="s">
        <v>110</v>
      </c>
      <c r="D107" s="8" t="s">
        <v>85</v>
      </c>
      <c r="E107" s="29">
        <f t="shared" si="22"/>
        <v>46572</v>
      </c>
      <c r="F107" s="29">
        <f t="shared" si="23"/>
        <v>46567</v>
      </c>
      <c r="G107" s="29">
        <f t="shared" si="24"/>
        <v>46552</v>
      </c>
      <c r="H107" s="29">
        <f t="shared" si="25"/>
        <v>46547</v>
      </c>
      <c r="I107" s="29">
        <f t="shared" si="26"/>
        <v>46517</v>
      </c>
      <c r="J107" s="29">
        <f t="shared" si="27"/>
        <v>46579</v>
      </c>
      <c r="K107" s="7" t="str">
        <f t="shared" ca="1" si="28"/>
        <v>OK</v>
      </c>
      <c r="M107" s="7" t="str">
        <f t="shared" si="21"/>
        <v/>
      </c>
      <c r="N107" s="7" t="str">
        <f t="shared" si="21"/>
        <v/>
      </c>
      <c r="O107" s="7" t="str">
        <f t="shared" si="21"/>
        <v/>
      </c>
      <c r="P107" s="7" t="str">
        <f t="shared" si="21"/>
        <v/>
      </c>
      <c r="Q107" s="7" t="str">
        <f t="shared" si="21"/>
        <v/>
      </c>
      <c r="R107" s="7" t="str">
        <f t="shared" si="21"/>
        <v/>
      </c>
      <c r="S107" s="7" t="str">
        <f t="shared" si="29"/>
        <v/>
      </c>
      <c r="T107" s="7" t="str">
        <f t="shared" si="29"/>
        <v/>
      </c>
      <c r="U107" s="7" t="str">
        <f t="shared" si="29"/>
        <v/>
      </c>
      <c r="V107" s="7" t="str">
        <f t="shared" si="29"/>
        <v/>
      </c>
      <c r="W107" s="7" t="str">
        <f t="shared" si="29"/>
        <v>P</v>
      </c>
      <c r="X107" s="7" t="str">
        <f t="shared" si="29"/>
        <v>P</v>
      </c>
    </row>
    <row r="108" spans="1:24" ht="15" customHeight="1" x14ac:dyDescent="0.25">
      <c r="A108" s="7">
        <v>91</v>
      </c>
      <c r="B108" s="7">
        <v>4</v>
      </c>
      <c r="C108" s="8" t="s">
        <v>110</v>
      </c>
      <c r="D108" s="8" t="s">
        <v>85</v>
      </c>
      <c r="E108" s="29">
        <f t="shared" si="22"/>
        <v>46575</v>
      </c>
      <c r="F108" s="29">
        <f t="shared" si="23"/>
        <v>46570</v>
      </c>
      <c r="G108" s="29">
        <f t="shared" si="24"/>
        <v>46555</v>
      </c>
      <c r="H108" s="29">
        <f t="shared" si="25"/>
        <v>46550</v>
      </c>
      <c r="I108" s="29">
        <f t="shared" si="26"/>
        <v>46520</v>
      </c>
      <c r="J108" s="29">
        <f t="shared" si="27"/>
        <v>46582</v>
      </c>
      <c r="K108" s="7" t="str">
        <f t="shared" ca="1" si="28"/>
        <v>OK</v>
      </c>
      <c r="M108" s="7" t="str">
        <f t="shared" si="21"/>
        <v/>
      </c>
      <c r="N108" s="7" t="str">
        <f t="shared" si="21"/>
        <v/>
      </c>
      <c r="O108" s="7" t="str">
        <f t="shared" si="21"/>
        <v/>
      </c>
      <c r="P108" s="7" t="str">
        <f t="shared" si="21"/>
        <v/>
      </c>
      <c r="Q108" s="7" t="str">
        <f t="shared" si="21"/>
        <v/>
      </c>
      <c r="R108" s="7" t="str">
        <f t="shared" si="21"/>
        <v/>
      </c>
      <c r="S108" s="7" t="str">
        <f t="shared" si="29"/>
        <v/>
      </c>
      <c r="T108" s="7" t="str">
        <f t="shared" si="29"/>
        <v/>
      </c>
      <c r="U108" s="7" t="str">
        <f t="shared" si="29"/>
        <v/>
      </c>
      <c r="V108" s="7" t="str">
        <f t="shared" si="29"/>
        <v/>
      </c>
      <c r="W108" s="7" t="str">
        <f t="shared" si="29"/>
        <v>P</v>
      </c>
      <c r="X108" s="7" t="str">
        <f t="shared" si="29"/>
        <v>P</v>
      </c>
    </row>
    <row r="109" spans="1:24" ht="15" customHeight="1" x14ac:dyDescent="0.25">
      <c r="A109" s="7">
        <v>92</v>
      </c>
      <c r="B109" s="7">
        <v>4</v>
      </c>
      <c r="C109" s="8" t="s">
        <v>110</v>
      </c>
      <c r="D109" s="8" t="s">
        <v>87</v>
      </c>
      <c r="E109" s="29">
        <f t="shared" si="22"/>
        <v>46578</v>
      </c>
      <c r="F109" s="29">
        <f t="shared" si="23"/>
        <v>46573</v>
      </c>
      <c r="G109" s="29">
        <f t="shared" si="24"/>
        <v>46558</v>
      </c>
      <c r="H109" s="29">
        <f t="shared" si="25"/>
        <v>46553</v>
      </c>
      <c r="I109" s="29">
        <f t="shared" si="26"/>
        <v>46523</v>
      </c>
      <c r="J109" s="29">
        <f t="shared" si="27"/>
        <v>46585</v>
      </c>
      <c r="K109" s="7" t="str">
        <f t="shared" ca="1" si="28"/>
        <v>OK</v>
      </c>
      <c r="M109" s="7" t="str">
        <f t="shared" si="21"/>
        <v/>
      </c>
      <c r="N109" s="7" t="str">
        <f t="shared" si="21"/>
        <v/>
      </c>
      <c r="O109" s="7" t="str">
        <f t="shared" si="21"/>
        <v/>
      </c>
      <c r="P109" s="7" t="str">
        <f t="shared" si="21"/>
        <v/>
      </c>
      <c r="Q109" s="7" t="str">
        <f t="shared" si="21"/>
        <v/>
      </c>
      <c r="R109" s="7" t="str">
        <f t="shared" si="21"/>
        <v/>
      </c>
      <c r="S109" s="7" t="str">
        <f t="shared" si="29"/>
        <v/>
      </c>
      <c r="T109" s="7" t="str">
        <f t="shared" si="29"/>
        <v/>
      </c>
      <c r="U109" s="7" t="str">
        <f t="shared" si="29"/>
        <v/>
      </c>
      <c r="V109" s="7" t="str">
        <f t="shared" si="29"/>
        <v/>
      </c>
      <c r="W109" s="7" t="str">
        <f t="shared" si="29"/>
        <v>P</v>
      </c>
      <c r="X109" s="7" t="str">
        <f t="shared" si="29"/>
        <v>P</v>
      </c>
    </row>
    <row r="110" spans="1:24" ht="15" customHeight="1" x14ac:dyDescent="0.25">
      <c r="A110" s="7">
        <v>93</v>
      </c>
      <c r="B110" s="7">
        <v>4</v>
      </c>
      <c r="C110" s="8" t="s">
        <v>110</v>
      </c>
      <c r="D110" s="8" t="s">
        <v>87</v>
      </c>
      <c r="E110" s="29">
        <f t="shared" si="22"/>
        <v>46581</v>
      </c>
      <c r="F110" s="29">
        <f t="shared" si="23"/>
        <v>46576</v>
      </c>
      <c r="G110" s="29">
        <f t="shared" si="24"/>
        <v>46561</v>
      </c>
      <c r="H110" s="29">
        <f t="shared" si="25"/>
        <v>46556</v>
      </c>
      <c r="I110" s="29">
        <f t="shared" si="26"/>
        <v>46526</v>
      </c>
      <c r="J110" s="29">
        <f t="shared" si="27"/>
        <v>46588</v>
      </c>
      <c r="K110" s="7" t="str">
        <f t="shared" ca="1" si="28"/>
        <v>OK</v>
      </c>
      <c r="M110" s="7" t="str">
        <f t="shared" si="21"/>
        <v/>
      </c>
      <c r="N110" s="7" t="str">
        <f t="shared" si="21"/>
        <v/>
      </c>
      <c r="O110" s="7" t="str">
        <f t="shared" si="21"/>
        <v/>
      </c>
      <c r="P110" s="7" t="str">
        <f t="shared" si="21"/>
        <v/>
      </c>
      <c r="Q110" s="7" t="str">
        <f t="shared" si="21"/>
        <v/>
      </c>
      <c r="R110" s="7" t="str">
        <f t="shared" si="21"/>
        <v/>
      </c>
      <c r="S110" s="7" t="str">
        <f t="shared" si="29"/>
        <v/>
      </c>
      <c r="T110" s="7" t="str">
        <f t="shared" si="29"/>
        <v/>
      </c>
      <c r="U110" s="7" t="str">
        <f t="shared" si="29"/>
        <v/>
      </c>
      <c r="V110" s="7" t="str">
        <f t="shared" si="29"/>
        <v/>
      </c>
      <c r="W110" s="7" t="str">
        <f t="shared" si="29"/>
        <v>P</v>
      </c>
      <c r="X110" s="7" t="str">
        <f t="shared" si="29"/>
        <v>P</v>
      </c>
    </row>
    <row r="111" spans="1:24" ht="15" customHeight="1" x14ac:dyDescent="0.25">
      <c r="A111" s="7">
        <v>94</v>
      </c>
      <c r="B111" s="7">
        <v>4</v>
      </c>
      <c r="C111" s="8" t="s">
        <v>110</v>
      </c>
      <c r="D111" s="8" t="s">
        <v>87</v>
      </c>
      <c r="E111" s="29">
        <f t="shared" si="22"/>
        <v>46584</v>
      </c>
      <c r="F111" s="29">
        <f t="shared" si="23"/>
        <v>46579</v>
      </c>
      <c r="G111" s="29">
        <f t="shared" si="24"/>
        <v>46564</v>
      </c>
      <c r="H111" s="29">
        <f t="shared" si="25"/>
        <v>46559</v>
      </c>
      <c r="I111" s="29">
        <f t="shared" si="26"/>
        <v>46529</v>
      </c>
      <c r="J111" s="29">
        <f t="shared" si="27"/>
        <v>46591</v>
      </c>
      <c r="K111" s="7" t="str">
        <f t="shared" ca="1" si="28"/>
        <v>OK</v>
      </c>
      <c r="M111" s="7" t="str">
        <f t="shared" si="21"/>
        <v/>
      </c>
      <c r="N111" s="7" t="str">
        <f t="shared" si="21"/>
        <v/>
      </c>
      <c r="O111" s="7" t="str">
        <f t="shared" si="21"/>
        <v/>
      </c>
      <c r="P111" s="7" t="str">
        <f t="shared" si="21"/>
        <v/>
      </c>
      <c r="Q111" s="7" t="str">
        <f t="shared" si="21"/>
        <v/>
      </c>
      <c r="R111" s="7" t="str">
        <f t="shared" si="21"/>
        <v/>
      </c>
      <c r="S111" s="7" t="str">
        <f t="shared" si="29"/>
        <v/>
      </c>
      <c r="T111" s="7" t="str">
        <f t="shared" si="29"/>
        <v/>
      </c>
      <c r="U111" s="7" t="str">
        <f t="shared" si="29"/>
        <v/>
      </c>
      <c r="V111" s="7" t="str">
        <f t="shared" si="29"/>
        <v/>
      </c>
      <c r="W111" s="7" t="str">
        <f t="shared" si="29"/>
        <v>P</v>
      </c>
      <c r="X111" s="7" t="str">
        <f t="shared" si="29"/>
        <v>P</v>
      </c>
    </row>
    <row r="112" spans="1:24" ht="15" customHeight="1" x14ac:dyDescent="0.25">
      <c r="A112" s="7">
        <v>95</v>
      </c>
      <c r="B112" s="7">
        <v>4</v>
      </c>
      <c r="C112" s="8" t="s">
        <v>110</v>
      </c>
      <c r="D112" s="8" t="s">
        <v>87</v>
      </c>
      <c r="E112" s="29">
        <f t="shared" si="22"/>
        <v>46587</v>
      </c>
      <c r="F112" s="29">
        <f t="shared" si="23"/>
        <v>46582</v>
      </c>
      <c r="G112" s="29">
        <f t="shared" si="24"/>
        <v>46567</v>
      </c>
      <c r="H112" s="29">
        <f t="shared" si="25"/>
        <v>46562</v>
      </c>
      <c r="I112" s="29">
        <f t="shared" si="26"/>
        <v>46532</v>
      </c>
      <c r="J112" s="29">
        <f t="shared" si="27"/>
        <v>46594</v>
      </c>
      <c r="K112" s="7" t="str">
        <f t="shared" ca="1" si="28"/>
        <v>OK</v>
      </c>
      <c r="M112" s="7" t="str">
        <f t="shared" si="21"/>
        <v/>
      </c>
      <c r="N112" s="7" t="str">
        <f t="shared" si="21"/>
        <v/>
      </c>
      <c r="O112" s="7" t="str">
        <f t="shared" si="21"/>
        <v/>
      </c>
      <c r="P112" s="7" t="str">
        <f t="shared" ref="P112:X141" si="30">IF(AND($E112&gt;=P$17,$E112&lt;EDATE(P$17,1)),"C",IF(AND(EDATE(P$17,1)&gt;$I112,P$17&lt;$E112),"P",""))</f>
        <v/>
      </c>
      <c r="Q112" s="7" t="str">
        <f t="shared" si="30"/>
        <v/>
      </c>
      <c r="R112" s="7" t="str">
        <f t="shared" si="30"/>
        <v/>
      </c>
      <c r="S112" s="7" t="str">
        <f t="shared" si="29"/>
        <v/>
      </c>
      <c r="T112" s="7" t="str">
        <f t="shared" si="29"/>
        <v/>
      </c>
      <c r="U112" s="7" t="str">
        <f t="shared" si="29"/>
        <v/>
      </c>
      <c r="V112" s="7" t="str">
        <f t="shared" si="29"/>
        <v/>
      </c>
      <c r="W112" s="7" t="str">
        <f t="shared" si="29"/>
        <v>P</v>
      </c>
      <c r="X112" s="7" t="str">
        <f t="shared" si="29"/>
        <v>P</v>
      </c>
    </row>
    <row r="113" spans="1:24" ht="15" customHeight="1" x14ac:dyDescent="0.25">
      <c r="A113" s="7">
        <v>96</v>
      </c>
      <c r="B113" s="7">
        <v>4</v>
      </c>
      <c r="C113" s="8" t="s">
        <v>111</v>
      </c>
      <c r="D113" s="8" t="s">
        <v>85</v>
      </c>
      <c r="E113" s="29">
        <f t="shared" si="22"/>
        <v>46590</v>
      </c>
      <c r="F113" s="29">
        <f t="shared" si="23"/>
        <v>46585</v>
      </c>
      <c r="G113" s="29">
        <f t="shared" si="24"/>
        <v>46570</v>
      </c>
      <c r="H113" s="29">
        <f t="shared" si="25"/>
        <v>46565</v>
      </c>
      <c r="I113" s="29">
        <f t="shared" si="26"/>
        <v>46535</v>
      </c>
      <c r="J113" s="29">
        <f t="shared" si="27"/>
        <v>46597</v>
      </c>
      <c r="K113" s="7" t="str">
        <f t="shared" ca="1" si="28"/>
        <v>OK</v>
      </c>
      <c r="M113" s="7" t="str">
        <f t="shared" ref="M113:O141" si="31">IF(AND($E113&gt;=M$17,$E113&lt;EDATE(M$17,1)),"C",IF(AND(EDATE(M$17,1)&gt;$I113,M$17&lt;$E113),"P",""))</f>
        <v/>
      </c>
      <c r="N113" s="7" t="str">
        <f t="shared" si="31"/>
        <v/>
      </c>
      <c r="O113" s="7" t="str">
        <f t="shared" si="31"/>
        <v/>
      </c>
      <c r="P113" s="7" t="str">
        <f t="shared" si="30"/>
        <v/>
      </c>
      <c r="Q113" s="7" t="str">
        <f t="shared" si="30"/>
        <v/>
      </c>
      <c r="R113" s="7" t="str">
        <f t="shared" si="30"/>
        <v/>
      </c>
      <c r="S113" s="7" t="str">
        <f t="shared" si="29"/>
        <v/>
      </c>
      <c r="T113" s="7" t="str">
        <f t="shared" si="29"/>
        <v/>
      </c>
      <c r="U113" s="7" t="str">
        <f t="shared" si="29"/>
        <v/>
      </c>
      <c r="V113" s="7" t="str">
        <f t="shared" si="29"/>
        <v/>
      </c>
      <c r="W113" s="7" t="str">
        <f t="shared" si="29"/>
        <v>P</v>
      </c>
      <c r="X113" s="7" t="str">
        <f t="shared" si="29"/>
        <v>P</v>
      </c>
    </row>
    <row r="114" spans="1:24" ht="15" customHeight="1" x14ac:dyDescent="0.25">
      <c r="A114" s="7">
        <v>97</v>
      </c>
      <c r="B114" s="7">
        <v>4</v>
      </c>
      <c r="C114" s="8" t="s">
        <v>112</v>
      </c>
      <c r="D114" s="8" t="s">
        <v>85</v>
      </c>
      <c r="E114" s="29">
        <f t="shared" ref="E114:E140" si="32">$C$4+ROUND((A114-1)*15/MAX($C$5,1),0)</f>
        <v>46593</v>
      </c>
      <c r="F114" s="29">
        <f t="shared" ref="F114:F140" si="33">E114-$C$11</f>
        <v>46588</v>
      </c>
      <c r="G114" s="29">
        <f t="shared" ref="G114:G140" si="34">F114-$C$10</f>
        <v>46573</v>
      </c>
      <c r="H114" s="29">
        <f t="shared" ref="H114:H140" si="35">G114-$C$9</f>
        <v>46568</v>
      </c>
      <c r="I114" s="29">
        <f t="shared" ref="I114:I140" si="36">H114-$C$8</f>
        <v>46538</v>
      </c>
      <c r="J114" s="29">
        <f t="shared" ref="J114:J140" si="37">E114+$C$12</f>
        <v>46600</v>
      </c>
      <c r="K114" s="7" t="str">
        <f t="shared" ref="K114:K140" ca="1" si="38">IF(I114&lt;$C$14,"⚠ Amont à lancer",IF(I114&lt;$C$14+30,"Bientôt","OK"))</f>
        <v>OK</v>
      </c>
      <c r="M114" s="7" t="str">
        <f t="shared" si="31"/>
        <v/>
      </c>
      <c r="N114" s="7" t="str">
        <f t="shared" si="31"/>
        <v/>
      </c>
      <c r="O114" s="7" t="str">
        <f t="shared" si="31"/>
        <v/>
      </c>
      <c r="P114" s="7" t="str">
        <f t="shared" si="30"/>
        <v/>
      </c>
      <c r="Q114" s="7" t="str">
        <f t="shared" si="30"/>
        <v/>
      </c>
      <c r="R114" s="7" t="str">
        <f t="shared" si="30"/>
        <v/>
      </c>
      <c r="S114" s="7" t="str">
        <f t="shared" si="29"/>
        <v/>
      </c>
      <c r="T114" s="7" t="str">
        <f t="shared" si="29"/>
        <v/>
      </c>
      <c r="U114" s="7" t="str">
        <f t="shared" si="29"/>
        <v/>
      </c>
      <c r="V114" s="7" t="str">
        <f t="shared" si="29"/>
        <v/>
      </c>
      <c r="W114" s="7" t="str">
        <f t="shared" si="29"/>
        <v>P</v>
      </c>
      <c r="X114" s="7" t="str">
        <f t="shared" si="29"/>
        <v>P</v>
      </c>
    </row>
    <row r="115" spans="1:24" ht="15" customHeight="1" x14ac:dyDescent="0.25">
      <c r="A115" s="7">
        <v>98</v>
      </c>
      <c r="B115" s="7">
        <v>4</v>
      </c>
      <c r="C115" s="8" t="s">
        <v>112</v>
      </c>
      <c r="D115" s="8" t="s">
        <v>85</v>
      </c>
      <c r="E115" s="29">
        <f t="shared" si="32"/>
        <v>46596</v>
      </c>
      <c r="F115" s="29">
        <f t="shared" si="33"/>
        <v>46591</v>
      </c>
      <c r="G115" s="29">
        <f t="shared" si="34"/>
        <v>46576</v>
      </c>
      <c r="H115" s="29">
        <f t="shared" si="35"/>
        <v>46571</v>
      </c>
      <c r="I115" s="29">
        <f t="shared" si="36"/>
        <v>46541</v>
      </c>
      <c r="J115" s="29">
        <f t="shared" si="37"/>
        <v>46603</v>
      </c>
      <c r="K115" s="7" t="str">
        <f t="shared" ca="1" si="38"/>
        <v>OK</v>
      </c>
      <c r="M115" s="7" t="str">
        <f t="shared" si="31"/>
        <v/>
      </c>
      <c r="N115" s="7" t="str">
        <f t="shared" si="31"/>
        <v/>
      </c>
      <c r="O115" s="7" t="str">
        <f t="shared" si="31"/>
        <v/>
      </c>
      <c r="P115" s="7" t="str">
        <f t="shared" si="30"/>
        <v/>
      </c>
      <c r="Q115" s="7" t="str">
        <f t="shared" si="30"/>
        <v/>
      </c>
      <c r="R115" s="7" t="str">
        <f t="shared" si="30"/>
        <v/>
      </c>
      <c r="S115" s="7" t="str">
        <f t="shared" si="30"/>
        <v/>
      </c>
      <c r="T115" s="7" t="str">
        <f t="shared" si="30"/>
        <v/>
      </c>
      <c r="U115" s="7" t="str">
        <f t="shared" si="30"/>
        <v/>
      </c>
      <c r="V115" s="7" t="str">
        <f t="shared" si="30"/>
        <v/>
      </c>
      <c r="W115" s="7" t="str">
        <f t="shared" si="30"/>
        <v/>
      </c>
      <c r="X115" s="7" t="str">
        <f t="shared" si="30"/>
        <v>P</v>
      </c>
    </row>
    <row r="116" spans="1:24" ht="15" customHeight="1" x14ac:dyDescent="0.25">
      <c r="A116" s="7">
        <v>99</v>
      </c>
      <c r="B116" s="7">
        <v>4</v>
      </c>
      <c r="C116" s="8" t="s">
        <v>112</v>
      </c>
      <c r="D116" s="8" t="s">
        <v>85</v>
      </c>
      <c r="E116" s="29">
        <f t="shared" si="32"/>
        <v>46599</v>
      </c>
      <c r="F116" s="29">
        <f t="shared" si="33"/>
        <v>46594</v>
      </c>
      <c r="G116" s="29">
        <f t="shared" si="34"/>
        <v>46579</v>
      </c>
      <c r="H116" s="29">
        <f t="shared" si="35"/>
        <v>46574</v>
      </c>
      <c r="I116" s="29">
        <f t="shared" si="36"/>
        <v>46544</v>
      </c>
      <c r="J116" s="29">
        <f t="shared" si="37"/>
        <v>46606</v>
      </c>
      <c r="K116" s="7" t="str">
        <f t="shared" ca="1" si="38"/>
        <v>OK</v>
      </c>
      <c r="M116" s="7" t="str">
        <f t="shared" si="31"/>
        <v/>
      </c>
      <c r="N116" s="7" t="str">
        <f t="shared" si="31"/>
        <v/>
      </c>
      <c r="O116" s="7" t="str">
        <f t="shared" si="31"/>
        <v/>
      </c>
      <c r="P116" s="7" t="str">
        <f t="shared" si="30"/>
        <v/>
      </c>
      <c r="Q116" s="7" t="str">
        <f t="shared" si="30"/>
        <v/>
      </c>
      <c r="R116" s="7" t="str">
        <f t="shared" si="30"/>
        <v/>
      </c>
      <c r="S116" s="7" t="str">
        <f t="shared" si="30"/>
        <v/>
      </c>
      <c r="T116" s="7" t="str">
        <f t="shared" si="30"/>
        <v/>
      </c>
      <c r="U116" s="7" t="str">
        <f t="shared" si="30"/>
        <v/>
      </c>
      <c r="V116" s="7" t="str">
        <f t="shared" si="30"/>
        <v/>
      </c>
      <c r="W116" s="7" t="str">
        <f t="shared" si="30"/>
        <v/>
      </c>
      <c r="X116" s="7" t="str">
        <f t="shared" si="30"/>
        <v>P</v>
      </c>
    </row>
    <row r="117" spans="1:24" ht="15" customHeight="1" x14ac:dyDescent="0.25">
      <c r="A117" s="7">
        <v>100</v>
      </c>
      <c r="B117" s="7">
        <v>4</v>
      </c>
      <c r="C117" s="8" t="s">
        <v>112</v>
      </c>
      <c r="D117" s="8" t="s">
        <v>85</v>
      </c>
      <c r="E117" s="29">
        <f t="shared" si="32"/>
        <v>46602</v>
      </c>
      <c r="F117" s="29">
        <f t="shared" si="33"/>
        <v>46597</v>
      </c>
      <c r="G117" s="29">
        <f t="shared" si="34"/>
        <v>46582</v>
      </c>
      <c r="H117" s="29">
        <f t="shared" si="35"/>
        <v>46577</v>
      </c>
      <c r="I117" s="29">
        <f t="shared" si="36"/>
        <v>46547</v>
      </c>
      <c r="J117" s="29">
        <f t="shared" si="37"/>
        <v>46609</v>
      </c>
      <c r="K117" s="7" t="str">
        <f t="shared" ca="1" si="38"/>
        <v>OK</v>
      </c>
      <c r="M117" s="7" t="str">
        <f t="shared" si="31"/>
        <v/>
      </c>
      <c r="N117" s="7" t="str">
        <f t="shared" si="31"/>
        <v/>
      </c>
      <c r="O117" s="7" t="str">
        <f t="shared" si="31"/>
        <v/>
      </c>
      <c r="P117" s="7" t="str">
        <f t="shared" si="30"/>
        <v/>
      </c>
      <c r="Q117" s="7" t="str">
        <f t="shared" si="30"/>
        <v/>
      </c>
      <c r="R117" s="7" t="str">
        <f t="shared" si="30"/>
        <v/>
      </c>
      <c r="S117" s="7" t="str">
        <f t="shared" si="30"/>
        <v/>
      </c>
      <c r="T117" s="7" t="str">
        <f t="shared" si="30"/>
        <v/>
      </c>
      <c r="U117" s="7" t="str">
        <f t="shared" si="30"/>
        <v/>
      </c>
      <c r="V117" s="7" t="str">
        <f t="shared" si="30"/>
        <v/>
      </c>
      <c r="W117" s="7" t="str">
        <f t="shared" si="30"/>
        <v/>
      </c>
      <c r="X117" s="7" t="str">
        <f t="shared" si="30"/>
        <v>P</v>
      </c>
    </row>
    <row r="118" spans="1:24" ht="15" customHeight="1" x14ac:dyDescent="0.25">
      <c r="A118" s="7">
        <v>101</v>
      </c>
      <c r="B118" s="7">
        <v>4</v>
      </c>
      <c r="C118" s="8" t="s">
        <v>112</v>
      </c>
      <c r="D118" s="8" t="s">
        <v>85</v>
      </c>
      <c r="E118" s="29">
        <f t="shared" si="32"/>
        <v>46605</v>
      </c>
      <c r="F118" s="29">
        <f t="shared" si="33"/>
        <v>46600</v>
      </c>
      <c r="G118" s="29">
        <f t="shared" si="34"/>
        <v>46585</v>
      </c>
      <c r="H118" s="29">
        <f t="shared" si="35"/>
        <v>46580</v>
      </c>
      <c r="I118" s="29">
        <f t="shared" si="36"/>
        <v>46550</v>
      </c>
      <c r="J118" s="29">
        <f t="shared" si="37"/>
        <v>46612</v>
      </c>
      <c r="K118" s="7" t="str">
        <f t="shared" ca="1" si="38"/>
        <v>OK</v>
      </c>
      <c r="M118" s="7" t="str">
        <f t="shared" si="31"/>
        <v/>
      </c>
      <c r="N118" s="7" t="str">
        <f t="shared" si="31"/>
        <v/>
      </c>
      <c r="O118" s="7" t="str">
        <f t="shared" si="31"/>
        <v/>
      </c>
      <c r="P118" s="7" t="str">
        <f t="shared" si="30"/>
        <v/>
      </c>
      <c r="Q118" s="7" t="str">
        <f t="shared" si="30"/>
        <v/>
      </c>
      <c r="R118" s="7" t="str">
        <f t="shared" si="30"/>
        <v/>
      </c>
      <c r="S118" s="7" t="str">
        <f t="shared" si="30"/>
        <v/>
      </c>
      <c r="T118" s="7" t="str">
        <f t="shared" si="30"/>
        <v/>
      </c>
      <c r="U118" s="7" t="str">
        <f t="shared" si="30"/>
        <v/>
      </c>
      <c r="V118" s="7" t="str">
        <f t="shared" si="30"/>
        <v/>
      </c>
      <c r="W118" s="7" t="str">
        <f t="shared" si="30"/>
        <v/>
      </c>
      <c r="X118" s="7" t="str">
        <f t="shared" si="30"/>
        <v>P</v>
      </c>
    </row>
    <row r="119" spans="1:24" ht="15" customHeight="1" x14ac:dyDescent="0.25">
      <c r="A119" s="7">
        <v>102</v>
      </c>
      <c r="B119" s="7">
        <v>4</v>
      </c>
      <c r="C119" s="8" t="s">
        <v>112</v>
      </c>
      <c r="D119" s="8" t="s">
        <v>85</v>
      </c>
      <c r="E119" s="29">
        <f t="shared" si="32"/>
        <v>46608</v>
      </c>
      <c r="F119" s="29">
        <f t="shared" si="33"/>
        <v>46603</v>
      </c>
      <c r="G119" s="29">
        <f t="shared" si="34"/>
        <v>46588</v>
      </c>
      <c r="H119" s="29">
        <f t="shared" si="35"/>
        <v>46583</v>
      </c>
      <c r="I119" s="29">
        <f t="shared" si="36"/>
        <v>46553</v>
      </c>
      <c r="J119" s="29">
        <f t="shared" si="37"/>
        <v>46615</v>
      </c>
      <c r="K119" s="7" t="str">
        <f t="shared" ca="1" si="38"/>
        <v>OK</v>
      </c>
      <c r="M119" s="7" t="str">
        <f t="shared" si="31"/>
        <v/>
      </c>
      <c r="N119" s="7" t="str">
        <f t="shared" si="31"/>
        <v/>
      </c>
      <c r="O119" s="7" t="str">
        <f t="shared" si="31"/>
        <v/>
      </c>
      <c r="P119" s="7" t="str">
        <f t="shared" si="30"/>
        <v/>
      </c>
      <c r="Q119" s="7" t="str">
        <f t="shared" si="30"/>
        <v/>
      </c>
      <c r="R119" s="7" t="str">
        <f t="shared" si="30"/>
        <v/>
      </c>
      <c r="S119" s="7" t="str">
        <f t="shared" si="30"/>
        <v/>
      </c>
      <c r="T119" s="7" t="str">
        <f t="shared" si="30"/>
        <v/>
      </c>
      <c r="U119" s="7" t="str">
        <f t="shared" si="30"/>
        <v/>
      </c>
      <c r="V119" s="7" t="str">
        <f t="shared" si="30"/>
        <v/>
      </c>
      <c r="W119" s="7" t="str">
        <f t="shared" si="30"/>
        <v/>
      </c>
      <c r="X119" s="7" t="str">
        <f t="shared" si="30"/>
        <v>P</v>
      </c>
    </row>
    <row r="120" spans="1:24" ht="15" customHeight="1" x14ac:dyDescent="0.25">
      <c r="A120" s="7">
        <v>103</v>
      </c>
      <c r="B120" s="7">
        <v>4</v>
      </c>
      <c r="C120" s="8" t="s">
        <v>112</v>
      </c>
      <c r="D120" s="8" t="s">
        <v>85</v>
      </c>
      <c r="E120" s="29">
        <f t="shared" si="32"/>
        <v>46611</v>
      </c>
      <c r="F120" s="29">
        <f t="shared" si="33"/>
        <v>46606</v>
      </c>
      <c r="G120" s="29">
        <f t="shared" si="34"/>
        <v>46591</v>
      </c>
      <c r="H120" s="29">
        <f t="shared" si="35"/>
        <v>46586</v>
      </c>
      <c r="I120" s="29">
        <f t="shared" si="36"/>
        <v>46556</v>
      </c>
      <c r="J120" s="29">
        <f t="shared" si="37"/>
        <v>46618</v>
      </c>
      <c r="K120" s="7" t="str">
        <f t="shared" ca="1" si="38"/>
        <v>OK</v>
      </c>
      <c r="M120" s="7" t="str">
        <f t="shared" si="31"/>
        <v/>
      </c>
      <c r="N120" s="7" t="str">
        <f t="shared" si="31"/>
        <v/>
      </c>
      <c r="O120" s="7" t="str">
        <f t="shared" si="31"/>
        <v/>
      </c>
      <c r="P120" s="7" t="str">
        <f t="shared" si="30"/>
        <v/>
      </c>
      <c r="Q120" s="7" t="str">
        <f t="shared" si="30"/>
        <v/>
      </c>
      <c r="R120" s="7" t="str">
        <f t="shared" si="30"/>
        <v/>
      </c>
      <c r="S120" s="7" t="str">
        <f t="shared" si="30"/>
        <v/>
      </c>
      <c r="T120" s="7" t="str">
        <f t="shared" si="30"/>
        <v/>
      </c>
      <c r="U120" s="7" t="str">
        <f t="shared" si="30"/>
        <v/>
      </c>
      <c r="V120" s="7" t="str">
        <f t="shared" si="30"/>
        <v/>
      </c>
      <c r="W120" s="7" t="str">
        <f t="shared" si="30"/>
        <v/>
      </c>
      <c r="X120" s="7" t="str">
        <f t="shared" si="30"/>
        <v>P</v>
      </c>
    </row>
    <row r="121" spans="1:24" ht="15" customHeight="1" x14ac:dyDescent="0.25">
      <c r="A121" s="7">
        <v>104</v>
      </c>
      <c r="B121" s="7">
        <v>4</v>
      </c>
      <c r="C121" s="8" t="s">
        <v>112</v>
      </c>
      <c r="D121" s="8" t="s">
        <v>85</v>
      </c>
      <c r="E121" s="29">
        <f t="shared" si="32"/>
        <v>46614</v>
      </c>
      <c r="F121" s="29">
        <f t="shared" si="33"/>
        <v>46609</v>
      </c>
      <c r="G121" s="29">
        <f t="shared" si="34"/>
        <v>46594</v>
      </c>
      <c r="H121" s="29">
        <f t="shared" si="35"/>
        <v>46589</v>
      </c>
      <c r="I121" s="29">
        <f t="shared" si="36"/>
        <v>46559</v>
      </c>
      <c r="J121" s="29">
        <f t="shared" si="37"/>
        <v>46621</v>
      </c>
      <c r="K121" s="7" t="str">
        <f t="shared" ca="1" si="38"/>
        <v>OK</v>
      </c>
      <c r="M121" s="7" t="str">
        <f t="shared" si="31"/>
        <v/>
      </c>
      <c r="N121" s="7" t="str">
        <f t="shared" si="31"/>
        <v/>
      </c>
      <c r="O121" s="7" t="str">
        <f t="shared" si="31"/>
        <v/>
      </c>
      <c r="P121" s="7" t="str">
        <f t="shared" si="30"/>
        <v/>
      </c>
      <c r="Q121" s="7" t="str">
        <f t="shared" si="30"/>
        <v/>
      </c>
      <c r="R121" s="7" t="str">
        <f t="shared" si="30"/>
        <v/>
      </c>
      <c r="S121" s="7" t="str">
        <f t="shared" si="30"/>
        <v/>
      </c>
      <c r="T121" s="7" t="str">
        <f t="shared" si="30"/>
        <v/>
      </c>
      <c r="U121" s="7" t="str">
        <f t="shared" si="30"/>
        <v/>
      </c>
      <c r="V121" s="7" t="str">
        <f t="shared" si="30"/>
        <v/>
      </c>
      <c r="W121" s="7" t="str">
        <f t="shared" si="30"/>
        <v/>
      </c>
      <c r="X121" s="7" t="str">
        <f t="shared" si="30"/>
        <v>P</v>
      </c>
    </row>
    <row r="122" spans="1:24" ht="15" customHeight="1" x14ac:dyDescent="0.25">
      <c r="A122" s="7">
        <v>105</v>
      </c>
      <c r="B122" s="7">
        <v>4</v>
      </c>
      <c r="C122" s="8" t="s">
        <v>112</v>
      </c>
      <c r="D122" s="8" t="s">
        <v>85</v>
      </c>
      <c r="E122" s="29">
        <f t="shared" si="32"/>
        <v>46617</v>
      </c>
      <c r="F122" s="29">
        <f t="shared" si="33"/>
        <v>46612</v>
      </c>
      <c r="G122" s="29">
        <f t="shared" si="34"/>
        <v>46597</v>
      </c>
      <c r="H122" s="29">
        <f t="shared" si="35"/>
        <v>46592</v>
      </c>
      <c r="I122" s="29">
        <f t="shared" si="36"/>
        <v>46562</v>
      </c>
      <c r="J122" s="29">
        <f t="shared" si="37"/>
        <v>46624</v>
      </c>
      <c r="K122" s="7" t="str">
        <f t="shared" ca="1" si="38"/>
        <v>OK</v>
      </c>
      <c r="M122" s="7" t="str">
        <f t="shared" si="31"/>
        <v/>
      </c>
      <c r="N122" s="7" t="str">
        <f t="shared" si="31"/>
        <v/>
      </c>
      <c r="O122" s="7" t="str">
        <f t="shared" si="31"/>
        <v/>
      </c>
      <c r="P122" s="7" t="str">
        <f t="shared" si="30"/>
        <v/>
      </c>
      <c r="Q122" s="7" t="str">
        <f t="shared" si="30"/>
        <v/>
      </c>
      <c r="R122" s="7" t="str">
        <f t="shared" si="30"/>
        <v/>
      </c>
      <c r="S122" s="7" t="str">
        <f t="shared" si="30"/>
        <v/>
      </c>
      <c r="T122" s="7" t="str">
        <f t="shared" si="30"/>
        <v/>
      </c>
      <c r="U122" s="7" t="str">
        <f t="shared" si="30"/>
        <v/>
      </c>
      <c r="V122" s="7" t="str">
        <f t="shared" si="30"/>
        <v/>
      </c>
      <c r="W122" s="7" t="str">
        <f t="shared" si="30"/>
        <v/>
      </c>
      <c r="X122" s="7" t="str">
        <f t="shared" si="30"/>
        <v>P</v>
      </c>
    </row>
    <row r="123" spans="1:24" ht="15" customHeight="1" x14ac:dyDescent="0.25">
      <c r="A123" s="7">
        <v>106</v>
      </c>
      <c r="B123" s="7">
        <v>4</v>
      </c>
      <c r="C123" s="8" t="s">
        <v>112</v>
      </c>
      <c r="D123" s="8" t="s">
        <v>85</v>
      </c>
      <c r="E123" s="29">
        <f t="shared" si="32"/>
        <v>46620</v>
      </c>
      <c r="F123" s="29">
        <f t="shared" si="33"/>
        <v>46615</v>
      </c>
      <c r="G123" s="29">
        <f t="shared" si="34"/>
        <v>46600</v>
      </c>
      <c r="H123" s="29">
        <f t="shared" si="35"/>
        <v>46595</v>
      </c>
      <c r="I123" s="29">
        <f t="shared" si="36"/>
        <v>46565</v>
      </c>
      <c r="J123" s="29">
        <f t="shared" si="37"/>
        <v>46627</v>
      </c>
      <c r="K123" s="7" t="str">
        <f t="shared" ca="1" si="38"/>
        <v>OK</v>
      </c>
      <c r="M123" s="7" t="str">
        <f t="shared" si="31"/>
        <v/>
      </c>
      <c r="N123" s="7" t="str">
        <f t="shared" si="31"/>
        <v/>
      </c>
      <c r="O123" s="7" t="str">
        <f t="shared" si="31"/>
        <v/>
      </c>
      <c r="P123" s="7" t="str">
        <f t="shared" si="30"/>
        <v/>
      </c>
      <c r="Q123" s="7" t="str">
        <f t="shared" si="30"/>
        <v/>
      </c>
      <c r="R123" s="7" t="str">
        <f t="shared" si="30"/>
        <v/>
      </c>
      <c r="S123" s="7" t="str">
        <f t="shared" si="30"/>
        <v/>
      </c>
      <c r="T123" s="7" t="str">
        <f t="shared" si="30"/>
        <v/>
      </c>
      <c r="U123" s="7" t="str">
        <f t="shared" si="30"/>
        <v/>
      </c>
      <c r="V123" s="7" t="str">
        <f t="shared" si="30"/>
        <v/>
      </c>
      <c r="W123" s="7" t="str">
        <f t="shared" si="30"/>
        <v/>
      </c>
      <c r="X123" s="7" t="str">
        <f t="shared" si="30"/>
        <v>P</v>
      </c>
    </row>
    <row r="124" spans="1:24" ht="15" customHeight="1" x14ac:dyDescent="0.25">
      <c r="A124" s="7">
        <v>107</v>
      </c>
      <c r="B124" s="7">
        <v>4</v>
      </c>
      <c r="C124" s="8" t="s">
        <v>112</v>
      </c>
      <c r="D124" s="8" t="s">
        <v>85</v>
      </c>
      <c r="E124" s="29">
        <f t="shared" si="32"/>
        <v>46623</v>
      </c>
      <c r="F124" s="29">
        <f t="shared" si="33"/>
        <v>46618</v>
      </c>
      <c r="G124" s="29">
        <f t="shared" si="34"/>
        <v>46603</v>
      </c>
      <c r="H124" s="29">
        <f t="shared" si="35"/>
        <v>46598</v>
      </c>
      <c r="I124" s="29">
        <f t="shared" si="36"/>
        <v>46568</v>
      </c>
      <c r="J124" s="29">
        <f t="shared" si="37"/>
        <v>46630</v>
      </c>
      <c r="K124" s="7" t="str">
        <f t="shared" ca="1" si="38"/>
        <v>OK</v>
      </c>
      <c r="M124" s="7" t="str">
        <f t="shared" si="31"/>
        <v/>
      </c>
      <c r="N124" s="7" t="str">
        <f t="shared" si="31"/>
        <v/>
      </c>
      <c r="O124" s="7" t="str">
        <f t="shared" si="31"/>
        <v/>
      </c>
      <c r="P124" s="7" t="str">
        <f t="shared" si="30"/>
        <v/>
      </c>
      <c r="Q124" s="7" t="str">
        <f t="shared" si="30"/>
        <v/>
      </c>
      <c r="R124" s="7" t="str">
        <f t="shared" si="30"/>
        <v/>
      </c>
      <c r="S124" s="7" t="str">
        <f t="shared" si="30"/>
        <v/>
      </c>
      <c r="T124" s="7" t="str">
        <f t="shared" si="30"/>
        <v/>
      </c>
      <c r="U124" s="7" t="str">
        <f t="shared" si="30"/>
        <v/>
      </c>
      <c r="V124" s="7" t="str">
        <f t="shared" si="30"/>
        <v/>
      </c>
      <c r="W124" s="7" t="str">
        <f t="shared" si="30"/>
        <v/>
      </c>
      <c r="X124" s="7" t="str">
        <f t="shared" si="30"/>
        <v>P</v>
      </c>
    </row>
    <row r="125" spans="1:24" ht="15" customHeight="1" x14ac:dyDescent="0.25">
      <c r="A125" s="7">
        <v>108</v>
      </c>
      <c r="B125" s="7">
        <v>4</v>
      </c>
      <c r="C125" s="8" t="s">
        <v>113</v>
      </c>
      <c r="D125" s="8" t="s">
        <v>85</v>
      </c>
      <c r="E125" s="29">
        <f t="shared" si="32"/>
        <v>46626</v>
      </c>
      <c r="F125" s="29">
        <f t="shared" si="33"/>
        <v>46621</v>
      </c>
      <c r="G125" s="29">
        <f t="shared" si="34"/>
        <v>46606</v>
      </c>
      <c r="H125" s="29">
        <f t="shared" si="35"/>
        <v>46601</v>
      </c>
      <c r="I125" s="29">
        <f t="shared" si="36"/>
        <v>46571</v>
      </c>
      <c r="J125" s="29">
        <f t="shared" si="37"/>
        <v>46633</v>
      </c>
      <c r="K125" s="7" t="str">
        <f t="shared" ca="1" si="38"/>
        <v>OK</v>
      </c>
      <c r="M125" s="7" t="str">
        <f t="shared" si="31"/>
        <v/>
      </c>
      <c r="N125" s="7" t="str">
        <f t="shared" si="31"/>
        <v/>
      </c>
      <c r="O125" s="7" t="str">
        <f t="shared" si="31"/>
        <v/>
      </c>
      <c r="P125" s="7" t="str">
        <f t="shared" si="30"/>
        <v/>
      </c>
      <c r="Q125" s="7" t="str">
        <f t="shared" si="30"/>
        <v/>
      </c>
      <c r="R125" s="7" t="str">
        <f t="shared" si="30"/>
        <v/>
      </c>
      <c r="S125" s="7" t="str">
        <f t="shared" si="30"/>
        <v/>
      </c>
      <c r="T125" s="7" t="str">
        <f t="shared" si="30"/>
        <v/>
      </c>
      <c r="U125" s="7" t="str">
        <f t="shared" si="30"/>
        <v/>
      </c>
      <c r="V125" s="7" t="str">
        <f t="shared" si="30"/>
        <v/>
      </c>
      <c r="W125" s="7" t="str">
        <f t="shared" si="30"/>
        <v/>
      </c>
      <c r="X125" s="7" t="str">
        <f t="shared" si="30"/>
        <v/>
      </c>
    </row>
    <row r="126" spans="1:24" ht="15" customHeight="1" x14ac:dyDescent="0.25">
      <c r="A126" s="7">
        <v>109</v>
      </c>
      <c r="B126" s="7">
        <v>4</v>
      </c>
      <c r="C126" s="8" t="s">
        <v>113</v>
      </c>
      <c r="D126" s="8" t="s">
        <v>87</v>
      </c>
      <c r="E126" s="29">
        <f t="shared" si="32"/>
        <v>46629</v>
      </c>
      <c r="F126" s="29">
        <f t="shared" si="33"/>
        <v>46624</v>
      </c>
      <c r="G126" s="29">
        <f t="shared" si="34"/>
        <v>46609</v>
      </c>
      <c r="H126" s="29">
        <f t="shared" si="35"/>
        <v>46604</v>
      </c>
      <c r="I126" s="29">
        <f t="shared" si="36"/>
        <v>46574</v>
      </c>
      <c r="J126" s="29">
        <f t="shared" si="37"/>
        <v>46636</v>
      </c>
      <c r="K126" s="7" t="str">
        <f t="shared" ca="1" si="38"/>
        <v>OK</v>
      </c>
      <c r="M126" s="7" t="str">
        <f t="shared" si="31"/>
        <v/>
      </c>
      <c r="N126" s="7" t="str">
        <f t="shared" si="31"/>
        <v/>
      </c>
      <c r="O126" s="7" t="str">
        <f t="shared" si="31"/>
        <v/>
      </c>
      <c r="P126" s="7" t="str">
        <f t="shared" si="30"/>
        <v/>
      </c>
      <c r="Q126" s="7" t="str">
        <f t="shared" si="30"/>
        <v/>
      </c>
      <c r="R126" s="7" t="str">
        <f t="shared" si="30"/>
        <v/>
      </c>
      <c r="S126" s="7" t="str">
        <f t="shared" si="30"/>
        <v/>
      </c>
      <c r="T126" s="7" t="str">
        <f t="shared" si="30"/>
        <v/>
      </c>
      <c r="U126" s="7" t="str">
        <f t="shared" si="30"/>
        <v/>
      </c>
      <c r="V126" s="7" t="str">
        <f t="shared" si="30"/>
        <v/>
      </c>
      <c r="W126" s="7" t="str">
        <f t="shared" si="30"/>
        <v/>
      </c>
      <c r="X126" s="7" t="str">
        <f t="shared" si="30"/>
        <v/>
      </c>
    </row>
    <row r="127" spans="1:24" ht="15" customHeight="1" x14ac:dyDescent="0.25">
      <c r="A127" s="7">
        <v>110</v>
      </c>
      <c r="B127" s="7">
        <v>4</v>
      </c>
      <c r="C127" s="8" t="s">
        <v>113</v>
      </c>
      <c r="D127" s="8" t="s">
        <v>87</v>
      </c>
      <c r="E127" s="29">
        <f t="shared" si="32"/>
        <v>46632</v>
      </c>
      <c r="F127" s="29">
        <f t="shared" si="33"/>
        <v>46627</v>
      </c>
      <c r="G127" s="29">
        <f t="shared" si="34"/>
        <v>46612</v>
      </c>
      <c r="H127" s="29">
        <f t="shared" si="35"/>
        <v>46607</v>
      </c>
      <c r="I127" s="29">
        <f t="shared" si="36"/>
        <v>46577</v>
      </c>
      <c r="J127" s="29">
        <f t="shared" si="37"/>
        <v>46639</v>
      </c>
      <c r="K127" s="7" t="str">
        <f t="shared" ca="1" si="38"/>
        <v>OK</v>
      </c>
      <c r="M127" s="7" t="str">
        <f t="shared" si="31"/>
        <v/>
      </c>
      <c r="N127" s="7" t="str">
        <f t="shared" si="31"/>
        <v/>
      </c>
      <c r="O127" s="7" t="str">
        <f t="shared" si="31"/>
        <v/>
      </c>
      <c r="P127" s="7" t="str">
        <f t="shared" si="30"/>
        <v/>
      </c>
      <c r="Q127" s="7" t="str">
        <f t="shared" si="30"/>
        <v/>
      </c>
      <c r="R127" s="7" t="str">
        <f t="shared" si="30"/>
        <v/>
      </c>
      <c r="S127" s="7" t="str">
        <f t="shared" si="30"/>
        <v/>
      </c>
      <c r="T127" s="7" t="str">
        <f t="shared" si="30"/>
        <v/>
      </c>
      <c r="U127" s="7" t="str">
        <f t="shared" si="30"/>
        <v/>
      </c>
      <c r="V127" s="7" t="str">
        <f t="shared" si="30"/>
        <v/>
      </c>
      <c r="W127" s="7" t="str">
        <f t="shared" si="30"/>
        <v/>
      </c>
      <c r="X127" s="7" t="str">
        <f t="shared" si="30"/>
        <v/>
      </c>
    </row>
    <row r="128" spans="1:24" ht="15" customHeight="1" x14ac:dyDescent="0.25">
      <c r="A128" s="7">
        <v>111</v>
      </c>
      <c r="B128" s="7">
        <v>4</v>
      </c>
      <c r="C128" s="8" t="s">
        <v>113</v>
      </c>
      <c r="D128" s="8" t="s">
        <v>87</v>
      </c>
      <c r="E128" s="29">
        <f t="shared" si="32"/>
        <v>46635</v>
      </c>
      <c r="F128" s="29">
        <f t="shared" si="33"/>
        <v>46630</v>
      </c>
      <c r="G128" s="29">
        <f t="shared" si="34"/>
        <v>46615</v>
      </c>
      <c r="H128" s="29">
        <f t="shared" si="35"/>
        <v>46610</v>
      </c>
      <c r="I128" s="29">
        <f t="shared" si="36"/>
        <v>46580</v>
      </c>
      <c r="J128" s="29">
        <f t="shared" si="37"/>
        <v>46642</v>
      </c>
      <c r="K128" s="7" t="str">
        <f t="shared" ca="1" si="38"/>
        <v>OK</v>
      </c>
      <c r="M128" s="7" t="str">
        <f t="shared" si="31"/>
        <v/>
      </c>
      <c r="N128" s="7" t="str">
        <f t="shared" si="31"/>
        <v/>
      </c>
      <c r="O128" s="7" t="str">
        <f t="shared" si="31"/>
        <v/>
      </c>
      <c r="P128" s="7" t="str">
        <f t="shared" si="30"/>
        <v/>
      </c>
      <c r="Q128" s="7" t="str">
        <f t="shared" si="30"/>
        <v/>
      </c>
      <c r="R128" s="7" t="str">
        <f t="shared" si="30"/>
        <v/>
      </c>
      <c r="S128" s="7" t="str">
        <f t="shared" si="30"/>
        <v/>
      </c>
      <c r="T128" s="7" t="str">
        <f t="shared" si="30"/>
        <v/>
      </c>
      <c r="U128" s="7" t="str">
        <f t="shared" si="30"/>
        <v/>
      </c>
      <c r="V128" s="7" t="str">
        <f t="shared" si="30"/>
        <v/>
      </c>
      <c r="W128" s="7" t="str">
        <f t="shared" si="30"/>
        <v/>
      </c>
      <c r="X128" s="7" t="str">
        <f t="shared" si="30"/>
        <v/>
      </c>
    </row>
    <row r="129" spans="1:24" ht="15" customHeight="1" x14ac:dyDescent="0.25">
      <c r="A129" s="7">
        <v>112</v>
      </c>
      <c r="B129" s="7">
        <v>4</v>
      </c>
      <c r="C129" s="8" t="s">
        <v>114</v>
      </c>
      <c r="D129" s="8" t="s">
        <v>85</v>
      </c>
      <c r="E129" s="29">
        <f t="shared" si="32"/>
        <v>46638</v>
      </c>
      <c r="F129" s="29">
        <f t="shared" si="33"/>
        <v>46633</v>
      </c>
      <c r="G129" s="29">
        <f t="shared" si="34"/>
        <v>46618</v>
      </c>
      <c r="H129" s="29">
        <f t="shared" si="35"/>
        <v>46613</v>
      </c>
      <c r="I129" s="29">
        <f t="shared" si="36"/>
        <v>46583</v>
      </c>
      <c r="J129" s="29">
        <f t="shared" si="37"/>
        <v>46645</v>
      </c>
      <c r="K129" s="7" t="str">
        <f t="shared" ca="1" si="38"/>
        <v>OK</v>
      </c>
      <c r="M129" s="7" t="str">
        <f t="shared" si="31"/>
        <v/>
      </c>
      <c r="N129" s="7" t="str">
        <f t="shared" si="31"/>
        <v/>
      </c>
      <c r="O129" s="7" t="str">
        <f t="shared" si="31"/>
        <v/>
      </c>
      <c r="P129" s="7" t="str">
        <f t="shared" si="30"/>
        <v/>
      </c>
      <c r="Q129" s="7" t="str">
        <f t="shared" si="30"/>
        <v/>
      </c>
      <c r="R129" s="7" t="str">
        <f t="shared" si="30"/>
        <v/>
      </c>
      <c r="S129" s="7" t="str">
        <f t="shared" si="30"/>
        <v/>
      </c>
      <c r="T129" s="7" t="str">
        <f t="shared" si="30"/>
        <v/>
      </c>
      <c r="U129" s="7" t="str">
        <f t="shared" si="30"/>
        <v/>
      </c>
      <c r="V129" s="7" t="str">
        <f t="shared" si="30"/>
        <v/>
      </c>
      <c r="W129" s="7" t="str">
        <f t="shared" si="30"/>
        <v/>
      </c>
      <c r="X129" s="7" t="str">
        <f t="shared" si="30"/>
        <v/>
      </c>
    </row>
    <row r="130" spans="1:24" ht="15" customHeight="1" x14ac:dyDescent="0.25">
      <c r="A130" s="7">
        <v>113</v>
      </c>
      <c r="B130" s="7">
        <v>4</v>
      </c>
      <c r="C130" s="8" t="s">
        <v>114</v>
      </c>
      <c r="D130" s="8" t="s">
        <v>85</v>
      </c>
      <c r="E130" s="29">
        <f t="shared" si="32"/>
        <v>46641</v>
      </c>
      <c r="F130" s="29">
        <f t="shared" si="33"/>
        <v>46636</v>
      </c>
      <c r="G130" s="29">
        <f t="shared" si="34"/>
        <v>46621</v>
      </c>
      <c r="H130" s="29">
        <f t="shared" si="35"/>
        <v>46616</v>
      </c>
      <c r="I130" s="29">
        <f t="shared" si="36"/>
        <v>46586</v>
      </c>
      <c r="J130" s="29">
        <f t="shared" si="37"/>
        <v>46648</v>
      </c>
      <c r="K130" s="7" t="str">
        <f t="shared" ca="1" si="38"/>
        <v>OK</v>
      </c>
      <c r="M130" s="7" t="str">
        <f t="shared" si="31"/>
        <v/>
      </c>
      <c r="N130" s="7" t="str">
        <f t="shared" si="31"/>
        <v/>
      </c>
      <c r="O130" s="7" t="str">
        <f t="shared" si="31"/>
        <v/>
      </c>
      <c r="P130" s="7" t="str">
        <f t="shared" si="30"/>
        <v/>
      </c>
      <c r="Q130" s="7" t="str">
        <f t="shared" si="30"/>
        <v/>
      </c>
      <c r="R130" s="7" t="str">
        <f t="shared" si="30"/>
        <v/>
      </c>
      <c r="S130" s="7" t="str">
        <f t="shared" si="30"/>
        <v/>
      </c>
      <c r="T130" s="7" t="str">
        <f t="shared" si="30"/>
        <v/>
      </c>
      <c r="U130" s="7" t="str">
        <f t="shared" si="30"/>
        <v/>
      </c>
      <c r="V130" s="7" t="str">
        <f t="shared" si="30"/>
        <v/>
      </c>
      <c r="W130" s="7" t="str">
        <f t="shared" si="30"/>
        <v/>
      </c>
      <c r="X130" s="7" t="str">
        <f t="shared" si="30"/>
        <v/>
      </c>
    </row>
    <row r="131" spans="1:24" ht="15" customHeight="1" x14ac:dyDescent="0.25">
      <c r="A131" s="7">
        <v>114</v>
      </c>
      <c r="B131" s="7">
        <v>4</v>
      </c>
      <c r="C131" s="8" t="s">
        <v>114</v>
      </c>
      <c r="D131" s="8" t="s">
        <v>87</v>
      </c>
      <c r="E131" s="29">
        <f t="shared" si="32"/>
        <v>46644</v>
      </c>
      <c r="F131" s="29">
        <f t="shared" si="33"/>
        <v>46639</v>
      </c>
      <c r="G131" s="29">
        <f t="shared" si="34"/>
        <v>46624</v>
      </c>
      <c r="H131" s="29">
        <f t="shared" si="35"/>
        <v>46619</v>
      </c>
      <c r="I131" s="29">
        <f t="shared" si="36"/>
        <v>46589</v>
      </c>
      <c r="J131" s="29">
        <f t="shared" si="37"/>
        <v>46651</v>
      </c>
      <c r="K131" s="7" t="str">
        <f t="shared" ca="1" si="38"/>
        <v>OK</v>
      </c>
      <c r="M131" s="7" t="str">
        <f t="shared" si="31"/>
        <v/>
      </c>
      <c r="N131" s="7" t="str">
        <f t="shared" si="31"/>
        <v/>
      </c>
      <c r="O131" s="7" t="str">
        <f t="shared" si="31"/>
        <v/>
      </c>
      <c r="P131" s="7" t="str">
        <f t="shared" si="30"/>
        <v/>
      </c>
      <c r="Q131" s="7" t="str">
        <f t="shared" si="30"/>
        <v/>
      </c>
      <c r="R131" s="7" t="str">
        <f t="shared" si="30"/>
        <v/>
      </c>
      <c r="S131" s="7" t="str">
        <f t="shared" si="30"/>
        <v/>
      </c>
      <c r="T131" s="7" t="str">
        <f t="shared" si="30"/>
        <v/>
      </c>
      <c r="U131" s="7" t="str">
        <f t="shared" si="30"/>
        <v/>
      </c>
      <c r="V131" s="7" t="str">
        <f t="shared" si="30"/>
        <v/>
      </c>
      <c r="W131" s="7" t="str">
        <f t="shared" si="30"/>
        <v/>
      </c>
      <c r="X131" s="7" t="str">
        <f t="shared" si="30"/>
        <v/>
      </c>
    </row>
    <row r="132" spans="1:24" ht="15" customHeight="1" x14ac:dyDescent="0.25">
      <c r="A132" s="7">
        <v>115</v>
      </c>
      <c r="B132" s="7">
        <v>4</v>
      </c>
      <c r="C132" s="8" t="s">
        <v>115</v>
      </c>
      <c r="D132" s="8" t="s">
        <v>85</v>
      </c>
      <c r="E132" s="29">
        <f t="shared" si="32"/>
        <v>46647</v>
      </c>
      <c r="F132" s="29">
        <f t="shared" si="33"/>
        <v>46642</v>
      </c>
      <c r="G132" s="29">
        <f t="shared" si="34"/>
        <v>46627</v>
      </c>
      <c r="H132" s="29">
        <f t="shared" si="35"/>
        <v>46622</v>
      </c>
      <c r="I132" s="29">
        <f t="shared" si="36"/>
        <v>46592</v>
      </c>
      <c r="J132" s="29">
        <f t="shared" si="37"/>
        <v>46654</v>
      </c>
      <c r="K132" s="7" t="str">
        <f t="shared" ca="1" si="38"/>
        <v>OK</v>
      </c>
      <c r="M132" s="7" t="str">
        <f t="shared" si="31"/>
        <v/>
      </c>
      <c r="N132" s="7" t="str">
        <f t="shared" si="31"/>
        <v/>
      </c>
      <c r="O132" s="7" t="str">
        <f t="shared" si="31"/>
        <v/>
      </c>
      <c r="P132" s="7" t="str">
        <f t="shared" si="30"/>
        <v/>
      </c>
      <c r="Q132" s="7" t="str">
        <f t="shared" si="30"/>
        <v/>
      </c>
      <c r="R132" s="7" t="str">
        <f t="shared" si="30"/>
        <v/>
      </c>
      <c r="S132" s="7" t="str">
        <f t="shared" si="30"/>
        <v/>
      </c>
      <c r="T132" s="7" t="str">
        <f t="shared" si="30"/>
        <v/>
      </c>
      <c r="U132" s="7" t="str">
        <f t="shared" si="30"/>
        <v/>
      </c>
      <c r="V132" s="7" t="str">
        <f t="shared" si="30"/>
        <v/>
      </c>
      <c r="W132" s="7" t="str">
        <f t="shared" si="30"/>
        <v/>
      </c>
      <c r="X132" s="7" t="str">
        <f t="shared" si="30"/>
        <v/>
      </c>
    </row>
    <row r="133" spans="1:24" ht="15" customHeight="1" x14ac:dyDescent="0.25">
      <c r="A133" s="7">
        <v>116</v>
      </c>
      <c r="B133" s="7">
        <v>4</v>
      </c>
      <c r="C133" s="8" t="s">
        <v>116</v>
      </c>
      <c r="D133" s="8" t="s">
        <v>87</v>
      </c>
      <c r="E133" s="29">
        <f t="shared" si="32"/>
        <v>46650</v>
      </c>
      <c r="F133" s="29">
        <f t="shared" si="33"/>
        <v>46645</v>
      </c>
      <c r="G133" s="29">
        <f t="shared" si="34"/>
        <v>46630</v>
      </c>
      <c r="H133" s="29">
        <f t="shared" si="35"/>
        <v>46625</v>
      </c>
      <c r="I133" s="29">
        <f t="shared" si="36"/>
        <v>46595</v>
      </c>
      <c r="J133" s="29">
        <f t="shared" si="37"/>
        <v>46657</v>
      </c>
      <c r="K133" s="7" t="str">
        <f t="shared" ca="1" si="38"/>
        <v>OK</v>
      </c>
      <c r="M133" s="7" t="str">
        <f t="shared" si="31"/>
        <v/>
      </c>
      <c r="N133" s="7" t="str">
        <f t="shared" si="31"/>
        <v/>
      </c>
      <c r="O133" s="7" t="str">
        <f t="shared" si="31"/>
        <v/>
      </c>
      <c r="P133" s="7" t="str">
        <f t="shared" si="30"/>
        <v/>
      </c>
      <c r="Q133" s="7" t="str">
        <f t="shared" si="30"/>
        <v/>
      </c>
      <c r="R133" s="7" t="str">
        <f t="shared" si="30"/>
        <v/>
      </c>
      <c r="S133" s="7" t="str">
        <f t="shared" si="30"/>
        <v/>
      </c>
      <c r="T133" s="7" t="str">
        <f t="shared" si="30"/>
        <v/>
      </c>
      <c r="U133" s="7" t="str">
        <f t="shared" si="30"/>
        <v/>
      </c>
      <c r="V133" s="7" t="str">
        <f t="shared" si="30"/>
        <v/>
      </c>
      <c r="W133" s="7" t="str">
        <f t="shared" si="30"/>
        <v/>
      </c>
      <c r="X133" s="7" t="str">
        <f t="shared" si="30"/>
        <v/>
      </c>
    </row>
    <row r="134" spans="1:24" ht="15" customHeight="1" x14ac:dyDescent="0.25">
      <c r="A134" s="7">
        <v>117</v>
      </c>
      <c r="B134" s="7">
        <v>4</v>
      </c>
      <c r="C134" s="8" t="s">
        <v>117</v>
      </c>
      <c r="D134" s="8" t="s">
        <v>85</v>
      </c>
      <c r="E134" s="29">
        <f t="shared" si="32"/>
        <v>46653</v>
      </c>
      <c r="F134" s="29">
        <f t="shared" si="33"/>
        <v>46648</v>
      </c>
      <c r="G134" s="29">
        <f t="shared" si="34"/>
        <v>46633</v>
      </c>
      <c r="H134" s="29">
        <f t="shared" si="35"/>
        <v>46628</v>
      </c>
      <c r="I134" s="29">
        <f t="shared" si="36"/>
        <v>46598</v>
      </c>
      <c r="J134" s="29">
        <f t="shared" si="37"/>
        <v>46660</v>
      </c>
      <c r="K134" s="7" t="str">
        <f t="shared" ca="1" si="38"/>
        <v>OK</v>
      </c>
      <c r="M134" s="7" t="str">
        <f t="shared" si="31"/>
        <v/>
      </c>
      <c r="N134" s="7" t="str">
        <f t="shared" si="31"/>
        <v/>
      </c>
      <c r="O134" s="7" t="str">
        <f t="shared" si="31"/>
        <v/>
      </c>
      <c r="P134" s="7" t="str">
        <f t="shared" si="30"/>
        <v/>
      </c>
      <c r="Q134" s="7" t="str">
        <f t="shared" si="30"/>
        <v/>
      </c>
      <c r="R134" s="7" t="str">
        <f t="shared" si="30"/>
        <v/>
      </c>
      <c r="S134" s="7" t="str">
        <f t="shared" si="30"/>
        <v/>
      </c>
      <c r="T134" s="7" t="str">
        <f t="shared" si="30"/>
        <v/>
      </c>
      <c r="U134" s="7" t="str">
        <f t="shared" si="30"/>
        <v/>
      </c>
      <c r="V134" s="7" t="str">
        <f t="shared" si="30"/>
        <v/>
      </c>
      <c r="W134" s="7" t="str">
        <f t="shared" si="30"/>
        <v/>
      </c>
      <c r="X134" s="7" t="str">
        <f t="shared" si="30"/>
        <v/>
      </c>
    </row>
    <row r="135" spans="1:24" ht="15" customHeight="1" x14ac:dyDescent="0.25">
      <c r="A135" s="7">
        <v>118</v>
      </c>
      <c r="B135" s="7">
        <v>4</v>
      </c>
      <c r="C135" s="8" t="s">
        <v>117</v>
      </c>
      <c r="D135" s="8" t="s">
        <v>85</v>
      </c>
      <c r="E135" s="29">
        <f t="shared" si="32"/>
        <v>46656</v>
      </c>
      <c r="F135" s="29">
        <f t="shared" si="33"/>
        <v>46651</v>
      </c>
      <c r="G135" s="29">
        <f t="shared" si="34"/>
        <v>46636</v>
      </c>
      <c r="H135" s="29">
        <f t="shared" si="35"/>
        <v>46631</v>
      </c>
      <c r="I135" s="29">
        <f t="shared" si="36"/>
        <v>46601</v>
      </c>
      <c r="J135" s="29">
        <f t="shared" si="37"/>
        <v>46663</v>
      </c>
      <c r="K135" s="7" t="str">
        <f t="shared" ca="1" si="38"/>
        <v>OK</v>
      </c>
      <c r="M135" s="7" t="str">
        <f t="shared" si="31"/>
        <v/>
      </c>
      <c r="N135" s="7" t="str">
        <f t="shared" si="31"/>
        <v/>
      </c>
      <c r="O135" s="7" t="str">
        <f t="shared" si="31"/>
        <v/>
      </c>
      <c r="P135" s="7" t="str">
        <f t="shared" si="30"/>
        <v/>
      </c>
      <c r="Q135" s="7" t="str">
        <f t="shared" si="30"/>
        <v/>
      </c>
      <c r="R135" s="7" t="str">
        <f t="shared" si="30"/>
        <v/>
      </c>
      <c r="S135" s="7" t="str">
        <f t="shared" si="30"/>
        <v/>
      </c>
      <c r="T135" s="7" t="str">
        <f t="shared" si="30"/>
        <v/>
      </c>
      <c r="U135" s="7" t="str">
        <f t="shared" si="30"/>
        <v/>
      </c>
      <c r="V135" s="7" t="str">
        <f t="shared" si="30"/>
        <v/>
      </c>
      <c r="W135" s="7" t="str">
        <f t="shared" si="30"/>
        <v/>
      </c>
      <c r="X135" s="7" t="str">
        <f t="shared" si="30"/>
        <v/>
      </c>
    </row>
    <row r="136" spans="1:24" ht="15" customHeight="1" x14ac:dyDescent="0.25">
      <c r="A136" s="7">
        <v>119</v>
      </c>
      <c r="B136" s="7">
        <v>4</v>
      </c>
      <c r="C136" s="8" t="s">
        <v>117</v>
      </c>
      <c r="D136" s="8" t="s">
        <v>85</v>
      </c>
      <c r="E136" s="29">
        <f t="shared" si="32"/>
        <v>46659</v>
      </c>
      <c r="F136" s="29">
        <f t="shared" si="33"/>
        <v>46654</v>
      </c>
      <c r="G136" s="29">
        <f t="shared" si="34"/>
        <v>46639</v>
      </c>
      <c r="H136" s="29">
        <f t="shared" si="35"/>
        <v>46634</v>
      </c>
      <c r="I136" s="29">
        <f t="shared" si="36"/>
        <v>46604</v>
      </c>
      <c r="J136" s="29">
        <f t="shared" si="37"/>
        <v>46666</v>
      </c>
      <c r="K136" s="7" t="str">
        <f t="shared" ca="1" si="38"/>
        <v>OK</v>
      </c>
      <c r="M136" s="7" t="str">
        <f t="shared" si="31"/>
        <v/>
      </c>
      <c r="N136" s="7" t="str">
        <f t="shared" si="31"/>
        <v/>
      </c>
      <c r="O136" s="7" t="str">
        <f t="shared" si="31"/>
        <v/>
      </c>
      <c r="P136" s="7" t="str">
        <f t="shared" si="30"/>
        <v/>
      </c>
      <c r="Q136" s="7" t="str">
        <f t="shared" si="30"/>
        <v/>
      </c>
      <c r="R136" s="7" t="str">
        <f t="shared" si="30"/>
        <v/>
      </c>
      <c r="S136" s="7" t="str">
        <f t="shared" si="30"/>
        <v/>
      </c>
      <c r="T136" s="7" t="str">
        <f t="shared" si="30"/>
        <v/>
      </c>
      <c r="U136" s="7" t="str">
        <f t="shared" si="30"/>
        <v/>
      </c>
      <c r="V136" s="7" t="str">
        <f t="shared" si="30"/>
        <v/>
      </c>
      <c r="W136" s="7" t="str">
        <f t="shared" si="30"/>
        <v/>
      </c>
      <c r="X136" s="7" t="str">
        <f t="shared" si="30"/>
        <v/>
      </c>
    </row>
    <row r="137" spans="1:24" ht="15" customHeight="1" x14ac:dyDescent="0.25">
      <c r="A137" s="7">
        <v>120</v>
      </c>
      <c r="B137" s="7">
        <v>4</v>
      </c>
      <c r="C137" s="8" t="s">
        <v>117</v>
      </c>
      <c r="D137" s="8" t="s">
        <v>85</v>
      </c>
      <c r="E137" s="29">
        <f t="shared" si="32"/>
        <v>46662</v>
      </c>
      <c r="F137" s="29">
        <f t="shared" si="33"/>
        <v>46657</v>
      </c>
      <c r="G137" s="29">
        <f t="shared" si="34"/>
        <v>46642</v>
      </c>
      <c r="H137" s="29">
        <f t="shared" si="35"/>
        <v>46637</v>
      </c>
      <c r="I137" s="29">
        <f t="shared" si="36"/>
        <v>46607</v>
      </c>
      <c r="J137" s="29">
        <f t="shared" si="37"/>
        <v>46669</v>
      </c>
      <c r="K137" s="7" t="str">
        <f t="shared" ca="1" si="38"/>
        <v>OK</v>
      </c>
      <c r="M137" s="7" t="str">
        <f t="shared" si="31"/>
        <v/>
      </c>
      <c r="N137" s="7" t="str">
        <f t="shared" si="31"/>
        <v/>
      </c>
      <c r="O137" s="7" t="str">
        <f t="shared" si="31"/>
        <v/>
      </c>
      <c r="P137" s="7" t="str">
        <f t="shared" si="30"/>
        <v/>
      </c>
      <c r="Q137" s="7" t="str">
        <f t="shared" si="30"/>
        <v/>
      </c>
      <c r="R137" s="7" t="str">
        <f t="shared" si="30"/>
        <v/>
      </c>
      <c r="S137" s="7" t="str">
        <f t="shared" si="30"/>
        <v/>
      </c>
      <c r="T137" s="7" t="str">
        <f t="shared" si="30"/>
        <v/>
      </c>
      <c r="U137" s="7" t="str">
        <f t="shared" si="30"/>
        <v/>
      </c>
      <c r="V137" s="7" t="str">
        <f t="shared" si="30"/>
        <v/>
      </c>
      <c r="W137" s="7" t="str">
        <f t="shared" si="30"/>
        <v/>
      </c>
      <c r="X137" s="7" t="str">
        <f t="shared" si="30"/>
        <v/>
      </c>
    </row>
    <row r="138" spans="1:24" ht="15" customHeight="1" x14ac:dyDescent="0.25">
      <c r="A138" s="7">
        <v>121</v>
      </c>
      <c r="B138" s="7">
        <v>4</v>
      </c>
      <c r="C138" s="8" t="s">
        <v>117</v>
      </c>
      <c r="D138" s="8" t="s">
        <v>85</v>
      </c>
      <c r="E138" s="29">
        <f t="shared" si="32"/>
        <v>46665</v>
      </c>
      <c r="F138" s="29">
        <f t="shared" si="33"/>
        <v>46660</v>
      </c>
      <c r="G138" s="29">
        <f t="shared" si="34"/>
        <v>46645</v>
      </c>
      <c r="H138" s="29">
        <f t="shared" si="35"/>
        <v>46640</v>
      </c>
      <c r="I138" s="29">
        <f t="shared" si="36"/>
        <v>46610</v>
      </c>
      <c r="J138" s="29">
        <f t="shared" si="37"/>
        <v>46672</v>
      </c>
      <c r="K138" s="7" t="str">
        <f t="shared" ca="1" si="38"/>
        <v>OK</v>
      </c>
      <c r="M138" s="7" t="str">
        <f t="shared" si="31"/>
        <v/>
      </c>
      <c r="N138" s="7" t="str">
        <f t="shared" si="31"/>
        <v/>
      </c>
      <c r="O138" s="7" t="str">
        <f t="shared" si="31"/>
        <v/>
      </c>
      <c r="P138" s="7" t="str">
        <f t="shared" si="30"/>
        <v/>
      </c>
      <c r="Q138" s="7" t="str">
        <f t="shared" si="30"/>
        <v/>
      </c>
      <c r="R138" s="7" t="str">
        <f t="shared" si="30"/>
        <v/>
      </c>
      <c r="S138" s="7" t="str">
        <f t="shared" si="30"/>
        <v/>
      </c>
      <c r="T138" s="7" t="str">
        <f t="shared" si="30"/>
        <v/>
      </c>
      <c r="U138" s="7" t="str">
        <f t="shared" si="30"/>
        <v/>
      </c>
      <c r="V138" s="7" t="str">
        <f t="shared" si="30"/>
        <v/>
      </c>
      <c r="W138" s="7" t="str">
        <f t="shared" si="30"/>
        <v/>
      </c>
      <c r="X138" s="7" t="str">
        <f t="shared" si="30"/>
        <v/>
      </c>
    </row>
    <row r="139" spans="1:24" ht="15" customHeight="1" x14ac:dyDescent="0.25">
      <c r="A139" s="7">
        <v>122</v>
      </c>
      <c r="B139" s="7">
        <v>4</v>
      </c>
      <c r="C139" s="8" t="s">
        <v>117</v>
      </c>
      <c r="D139" s="8" t="s">
        <v>85</v>
      </c>
      <c r="E139" s="29">
        <f t="shared" si="32"/>
        <v>46668</v>
      </c>
      <c r="F139" s="29">
        <f t="shared" si="33"/>
        <v>46663</v>
      </c>
      <c r="G139" s="29">
        <f t="shared" si="34"/>
        <v>46648</v>
      </c>
      <c r="H139" s="29">
        <f t="shared" si="35"/>
        <v>46643</v>
      </c>
      <c r="I139" s="29">
        <f t="shared" si="36"/>
        <v>46613</v>
      </c>
      <c r="J139" s="29">
        <f t="shared" si="37"/>
        <v>46675</v>
      </c>
      <c r="K139" s="7" t="str">
        <f t="shared" ca="1" si="38"/>
        <v>OK</v>
      </c>
      <c r="M139" s="7" t="str">
        <f t="shared" si="31"/>
        <v/>
      </c>
      <c r="N139" s="7" t="str">
        <f t="shared" si="31"/>
        <v/>
      </c>
      <c r="O139" s="7" t="str">
        <f t="shared" si="31"/>
        <v/>
      </c>
      <c r="P139" s="7" t="str">
        <f t="shared" si="30"/>
        <v/>
      </c>
      <c r="Q139" s="7" t="str">
        <f t="shared" si="30"/>
        <v/>
      </c>
      <c r="R139" s="7" t="str">
        <f t="shared" si="30"/>
        <v/>
      </c>
      <c r="S139" s="7" t="str">
        <f t="shared" si="30"/>
        <v/>
      </c>
      <c r="T139" s="7" t="str">
        <f t="shared" si="30"/>
        <v/>
      </c>
      <c r="U139" s="7" t="str">
        <f t="shared" si="30"/>
        <v/>
      </c>
      <c r="V139" s="7" t="str">
        <f t="shared" si="30"/>
        <v/>
      </c>
      <c r="W139" s="7" t="str">
        <f t="shared" si="30"/>
        <v/>
      </c>
      <c r="X139" s="7" t="str">
        <f t="shared" si="30"/>
        <v/>
      </c>
    </row>
    <row r="140" spans="1:24" ht="15" customHeight="1" x14ac:dyDescent="0.25">
      <c r="A140" s="7">
        <v>123</v>
      </c>
      <c r="B140" s="7">
        <v>4</v>
      </c>
      <c r="C140" s="8" t="s">
        <v>117</v>
      </c>
      <c r="D140" s="8" t="s">
        <v>87</v>
      </c>
      <c r="E140" s="29">
        <f t="shared" si="32"/>
        <v>46671</v>
      </c>
      <c r="F140" s="29">
        <f t="shared" si="33"/>
        <v>46666</v>
      </c>
      <c r="G140" s="29">
        <f t="shared" si="34"/>
        <v>46651</v>
      </c>
      <c r="H140" s="29">
        <f t="shared" si="35"/>
        <v>46646</v>
      </c>
      <c r="I140" s="29">
        <f t="shared" si="36"/>
        <v>46616</v>
      </c>
      <c r="J140" s="29">
        <f t="shared" si="37"/>
        <v>46678</v>
      </c>
      <c r="K140" s="7" t="str">
        <f t="shared" ca="1" si="38"/>
        <v>OK</v>
      </c>
      <c r="M140" s="7" t="str">
        <f t="shared" si="31"/>
        <v/>
      </c>
      <c r="N140" s="7" t="str">
        <f t="shared" si="31"/>
        <v/>
      </c>
      <c r="O140" s="7" t="str">
        <f t="shared" si="31"/>
        <v/>
      </c>
      <c r="P140" s="7" t="str">
        <f t="shared" si="30"/>
        <v/>
      </c>
      <c r="Q140" s="7" t="str">
        <f t="shared" si="30"/>
        <v/>
      </c>
      <c r="R140" s="7" t="str">
        <f t="shared" si="30"/>
        <v/>
      </c>
      <c r="S140" s="7" t="str">
        <f t="shared" si="30"/>
        <v/>
      </c>
      <c r="T140" s="7" t="str">
        <f t="shared" si="30"/>
        <v/>
      </c>
      <c r="U140" s="7" t="str">
        <f t="shared" si="30"/>
        <v/>
      </c>
      <c r="V140" s="7" t="str">
        <f t="shared" si="30"/>
        <v/>
      </c>
      <c r="W140" s="7" t="str">
        <f t="shared" si="30"/>
        <v/>
      </c>
      <c r="X140" s="7" t="str">
        <f t="shared" si="30"/>
        <v/>
      </c>
    </row>
    <row r="141" spans="1:24" ht="15" customHeight="1" x14ac:dyDescent="0.25">
      <c r="D141" s="28" t="s">
        <v>118</v>
      </c>
      <c r="M141" s="7" t="str">
        <f t="shared" si="31"/>
        <v/>
      </c>
      <c r="N141" s="7" t="str">
        <f t="shared" si="31"/>
        <v/>
      </c>
      <c r="O141" s="7" t="str">
        <f t="shared" si="31"/>
        <v/>
      </c>
      <c r="P141" s="7" t="str">
        <f t="shared" si="30"/>
        <v/>
      </c>
      <c r="Q141" s="7" t="str">
        <f t="shared" si="30"/>
        <v/>
      </c>
      <c r="R141" s="7" t="str">
        <f t="shared" si="30"/>
        <v/>
      </c>
      <c r="S141" s="7" t="str">
        <f t="shared" si="30"/>
        <v/>
      </c>
      <c r="T141" s="7" t="str">
        <f t="shared" si="30"/>
        <v/>
      </c>
      <c r="U141" s="7" t="str">
        <f t="shared" si="30"/>
        <v/>
      </c>
      <c r="V141" s="7" t="str">
        <f t="shared" si="30"/>
        <v/>
      </c>
      <c r="W141" s="7" t="str">
        <f t="shared" si="30"/>
        <v/>
      </c>
      <c r="X141" s="7" t="str">
        <f t="shared" si="30"/>
        <v/>
      </c>
    </row>
  </sheetData>
  <mergeCells count="15">
    <mergeCell ref="A1:K1"/>
    <mergeCell ref="A6:B6"/>
    <mergeCell ref="A12:B12"/>
    <mergeCell ref="A2:K2"/>
    <mergeCell ref="A13:B13"/>
    <mergeCell ref="A3:C3"/>
    <mergeCell ref="A9:B9"/>
    <mergeCell ref="A7:C7"/>
    <mergeCell ref="A8:B8"/>
    <mergeCell ref="A4:B4"/>
    <mergeCell ref="M15:R15"/>
    <mergeCell ref="A11:B11"/>
    <mergeCell ref="A10:B10"/>
    <mergeCell ref="A5:B5"/>
    <mergeCell ref="A14:B14"/>
  </mergeCells>
  <conditionalFormatting sqref="K18:K140">
    <cfRule type="cellIs" dxfId="6" priority="4" operator="equal">
      <formula>"⚠ Amont à lancer"</formula>
    </cfRule>
  </conditionalFormatting>
  <conditionalFormatting sqref="M18:X141">
    <cfRule type="cellIs" dxfId="5" priority="2" operator="equal">
      <formula>"C"</formula>
    </cfRule>
    <cfRule type="cellIs" dxfId="4" priority="3" operator="equal">
      <formula>"P"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zoomScaleNormal="100" workbookViewId="0">
      <selection activeCell="H3" sqref="H3"/>
    </sheetView>
  </sheetViews>
  <sheetFormatPr baseColWidth="10" defaultColWidth="10.5703125" defaultRowHeight="15" x14ac:dyDescent="0.25"/>
  <cols>
    <col min="2" max="3" width="28.85546875" customWidth="1"/>
    <col min="8" max="9" width="20.5703125" customWidth="1"/>
    <col min="10" max="10" width="18.85546875" customWidth="1"/>
  </cols>
  <sheetData>
    <row r="1" spans="1:10" ht="39.75" customHeight="1" x14ac:dyDescent="0.25">
      <c r="A1" s="9" t="s">
        <v>119</v>
      </c>
      <c r="B1" s="9" t="s">
        <v>120</v>
      </c>
      <c r="C1" s="9" t="s">
        <v>121</v>
      </c>
      <c r="D1" s="9" t="s">
        <v>122</v>
      </c>
      <c r="E1" s="9" t="s">
        <v>123</v>
      </c>
      <c r="F1" s="9" t="s">
        <v>124</v>
      </c>
      <c r="G1" s="10" t="s">
        <v>125</v>
      </c>
      <c r="H1" s="10" t="s">
        <v>126</v>
      </c>
      <c r="I1" s="10" t="s">
        <v>127</v>
      </c>
      <c r="J1" s="10" t="s">
        <v>128</v>
      </c>
    </row>
    <row r="2" spans="1:10" ht="15" customHeight="1" x14ac:dyDescent="0.25">
      <c r="A2" s="11">
        <v>14009</v>
      </c>
      <c r="B2" s="12" t="s">
        <v>105</v>
      </c>
      <c r="C2" s="13"/>
      <c r="D2" s="13"/>
      <c r="E2" s="13"/>
      <c r="F2" s="14">
        <f t="shared" ref="F2:F39" si="0">SUM(C2:E2)</f>
        <v>0</v>
      </c>
      <c r="G2" s="14"/>
      <c r="H2" s="13"/>
      <c r="I2" s="13"/>
      <c r="J2" s="13"/>
    </row>
    <row r="3" spans="1:10" ht="15" customHeight="1" x14ac:dyDescent="0.25">
      <c r="A3" s="12">
        <v>14012</v>
      </c>
      <c r="B3" s="12" t="s">
        <v>84</v>
      </c>
      <c r="C3" s="13"/>
      <c r="D3" s="13"/>
      <c r="E3" s="13"/>
      <c r="F3" s="14">
        <f t="shared" si="0"/>
        <v>0</v>
      </c>
      <c r="G3" s="14"/>
      <c r="H3" s="13"/>
      <c r="I3" s="13"/>
      <c r="J3" s="13"/>
    </row>
    <row r="4" spans="1:10" ht="15" customHeight="1" x14ac:dyDescent="0.25">
      <c r="A4" s="11">
        <v>14024</v>
      </c>
      <c r="B4" s="12" t="s">
        <v>106</v>
      </c>
      <c r="C4" s="13"/>
      <c r="D4" s="13"/>
      <c r="E4" s="13"/>
      <c r="F4" s="14">
        <f t="shared" si="0"/>
        <v>0</v>
      </c>
      <c r="G4" s="14"/>
      <c r="H4" s="13"/>
      <c r="I4" s="13"/>
      <c r="J4" s="13"/>
    </row>
    <row r="5" spans="1:10" ht="15" customHeight="1" x14ac:dyDescent="0.25">
      <c r="A5" s="11">
        <v>14045</v>
      </c>
      <c r="B5" s="12" t="s">
        <v>99</v>
      </c>
      <c r="C5" s="13"/>
      <c r="D5" s="13"/>
      <c r="E5" s="13"/>
      <c r="F5" s="14">
        <f t="shared" si="0"/>
        <v>0</v>
      </c>
      <c r="G5" s="14"/>
      <c r="H5" s="13"/>
      <c r="I5" s="13"/>
      <c r="J5" s="13"/>
    </row>
    <row r="6" spans="1:10" ht="15" customHeight="1" x14ac:dyDescent="0.25">
      <c r="A6" s="26">
        <v>14046</v>
      </c>
      <c r="B6" s="12" t="s">
        <v>107</v>
      </c>
      <c r="C6" s="13"/>
      <c r="D6" s="13"/>
      <c r="E6" s="13"/>
      <c r="F6" s="14">
        <f t="shared" si="0"/>
        <v>0</v>
      </c>
      <c r="G6" s="14"/>
      <c r="H6" s="13"/>
      <c r="I6" s="13"/>
      <c r="J6" s="13"/>
    </row>
    <row r="7" spans="1:10" ht="15" customHeight="1" x14ac:dyDescent="0.25">
      <c r="A7" s="11">
        <v>14231</v>
      </c>
      <c r="B7" s="12" t="s">
        <v>100</v>
      </c>
      <c r="C7" s="13"/>
      <c r="D7" s="13"/>
      <c r="E7" s="13"/>
      <c r="F7" s="14">
        <f t="shared" si="0"/>
        <v>0</v>
      </c>
      <c r="G7" s="14"/>
      <c r="H7" s="13"/>
      <c r="I7" s="13"/>
      <c r="J7" s="13"/>
    </row>
    <row r="8" spans="1:10" ht="15" customHeight="1" x14ac:dyDescent="0.25">
      <c r="A8" s="12">
        <v>14070</v>
      </c>
      <c r="B8" s="12" t="s">
        <v>101</v>
      </c>
      <c r="C8" s="13"/>
      <c r="D8" s="13"/>
      <c r="E8" s="13"/>
      <c r="F8" s="14">
        <f t="shared" si="0"/>
        <v>0</v>
      </c>
      <c r="G8" s="14"/>
      <c r="H8" s="13"/>
      <c r="I8" s="13"/>
      <c r="J8" s="13"/>
    </row>
    <row r="9" spans="1:10" ht="15" customHeight="1" x14ac:dyDescent="0.25">
      <c r="A9" s="12">
        <v>14106</v>
      </c>
      <c r="B9" s="12" t="s">
        <v>108</v>
      </c>
      <c r="C9" s="13"/>
      <c r="D9" s="13"/>
      <c r="E9" s="13"/>
      <c r="F9" s="14">
        <f t="shared" si="0"/>
        <v>0</v>
      </c>
      <c r="G9" s="14"/>
      <c r="H9" s="13"/>
      <c r="I9" s="13"/>
      <c r="J9" s="13"/>
    </row>
    <row r="10" spans="1:10" ht="15" customHeight="1" x14ac:dyDescent="0.25">
      <c r="A10" s="11">
        <v>14110</v>
      </c>
      <c r="B10" s="12" t="s">
        <v>102</v>
      </c>
      <c r="C10" s="13"/>
      <c r="D10" s="13"/>
      <c r="E10" s="13"/>
      <c r="F10" s="14">
        <f t="shared" si="0"/>
        <v>0</v>
      </c>
      <c r="G10" s="14"/>
      <c r="H10" s="13"/>
      <c r="I10" s="13"/>
      <c r="J10" s="13"/>
    </row>
    <row r="11" spans="1:10" ht="15" customHeight="1" x14ac:dyDescent="0.25">
      <c r="A11" s="11">
        <v>14117</v>
      </c>
      <c r="B11" s="12" t="s">
        <v>109</v>
      </c>
      <c r="C11" s="13"/>
      <c r="D11" s="13"/>
      <c r="E11" s="13"/>
      <c r="F11" s="14">
        <f t="shared" si="0"/>
        <v>0</v>
      </c>
      <c r="G11" s="14"/>
      <c r="H11" s="13"/>
      <c r="I11" s="13"/>
      <c r="J11" s="13"/>
    </row>
    <row r="12" spans="1:10" ht="15" customHeight="1" x14ac:dyDescent="0.25">
      <c r="A12" s="12">
        <v>14198</v>
      </c>
      <c r="B12" s="12" t="s">
        <v>93</v>
      </c>
      <c r="C12" s="13"/>
      <c r="D12" s="13"/>
      <c r="E12" s="13"/>
      <c r="F12" s="14">
        <f t="shared" si="0"/>
        <v>0</v>
      </c>
      <c r="G12" s="14"/>
      <c r="H12" s="13"/>
      <c r="I12" s="13"/>
      <c r="J12" s="13"/>
    </row>
    <row r="13" spans="1:10" ht="15" customHeight="1" x14ac:dyDescent="0.25">
      <c r="A13" s="12">
        <v>14203</v>
      </c>
      <c r="B13" s="12" t="s">
        <v>94</v>
      </c>
      <c r="C13" s="13"/>
      <c r="D13" s="13"/>
      <c r="E13" s="13"/>
      <c r="F13" s="14">
        <f t="shared" si="0"/>
        <v>0</v>
      </c>
      <c r="G13" s="14"/>
      <c r="H13" s="13"/>
      <c r="I13" s="13"/>
      <c r="J13" s="13"/>
    </row>
    <row r="14" spans="1:10" ht="15" customHeight="1" x14ac:dyDescent="0.25">
      <c r="A14" s="12">
        <v>14225</v>
      </c>
      <c r="B14" s="12" t="s">
        <v>110</v>
      </c>
      <c r="C14" s="13"/>
      <c r="D14" s="13"/>
      <c r="E14" s="13"/>
      <c r="F14" s="14">
        <f t="shared" si="0"/>
        <v>0</v>
      </c>
      <c r="G14" s="14"/>
      <c r="H14" s="13"/>
      <c r="I14" s="13"/>
      <c r="J14" s="13"/>
    </row>
    <row r="15" spans="1:10" ht="15" customHeight="1" x14ac:dyDescent="0.25">
      <c r="A15" s="11">
        <v>14227</v>
      </c>
      <c r="B15" s="12" t="s">
        <v>95</v>
      </c>
      <c r="C15" s="13"/>
      <c r="D15" s="13"/>
      <c r="E15" s="13"/>
      <c r="F15" s="14">
        <f t="shared" si="0"/>
        <v>0</v>
      </c>
      <c r="G15" s="14"/>
      <c r="H15" s="13"/>
      <c r="I15" s="13"/>
      <c r="J15" s="13"/>
    </row>
    <row r="16" spans="1:10" ht="15" customHeight="1" x14ac:dyDescent="0.25">
      <c r="A16" s="11">
        <v>14229</v>
      </c>
      <c r="B16" s="12" t="s">
        <v>86</v>
      </c>
      <c r="C16" s="13"/>
      <c r="D16" s="13"/>
      <c r="E16" s="13"/>
      <c r="F16" s="14">
        <f t="shared" si="0"/>
        <v>0</v>
      </c>
      <c r="G16" s="14"/>
      <c r="H16" s="13"/>
      <c r="I16" s="13"/>
      <c r="J16" s="13"/>
    </row>
    <row r="17" spans="1:10" ht="15" customHeight="1" x14ac:dyDescent="0.25">
      <c r="A17" s="11">
        <v>14246</v>
      </c>
      <c r="B17" s="12" t="s">
        <v>129</v>
      </c>
      <c r="C17" s="13"/>
      <c r="D17" s="13"/>
      <c r="E17" s="13"/>
      <c r="F17" s="14">
        <f t="shared" si="0"/>
        <v>0</v>
      </c>
      <c r="G17" s="14"/>
      <c r="H17" s="13"/>
      <c r="I17" s="13"/>
      <c r="J17" s="13"/>
    </row>
    <row r="18" spans="1:10" ht="15" customHeight="1" x14ac:dyDescent="0.25">
      <c r="A18" s="12">
        <v>14306</v>
      </c>
      <c r="B18" s="12" t="s">
        <v>96</v>
      </c>
      <c r="C18" s="13"/>
      <c r="D18" s="13"/>
      <c r="E18" s="13"/>
      <c r="F18" s="14">
        <f t="shared" si="0"/>
        <v>0</v>
      </c>
      <c r="G18" s="14"/>
      <c r="H18" s="13"/>
      <c r="I18" s="13"/>
      <c r="J18" s="13"/>
    </row>
    <row r="19" spans="1:10" ht="15" customHeight="1" x14ac:dyDescent="0.25">
      <c r="A19" s="11">
        <v>14305</v>
      </c>
      <c r="B19" s="12" t="s">
        <v>88</v>
      </c>
      <c r="C19" s="13"/>
      <c r="D19" s="13"/>
      <c r="E19" s="13"/>
      <c r="F19" s="14">
        <f t="shared" si="0"/>
        <v>0</v>
      </c>
      <c r="G19" s="14"/>
      <c r="H19" s="13"/>
      <c r="I19" s="13"/>
      <c r="J19" s="13"/>
    </row>
    <row r="20" spans="1:10" ht="15" customHeight="1" x14ac:dyDescent="0.25">
      <c r="A20" s="12">
        <v>14308</v>
      </c>
      <c r="B20" s="12" t="s">
        <v>97</v>
      </c>
      <c r="C20" s="13"/>
      <c r="D20" s="13"/>
      <c r="E20" s="13"/>
      <c r="F20" s="14">
        <f t="shared" si="0"/>
        <v>0</v>
      </c>
      <c r="G20" s="14"/>
      <c r="H20" s="13"/>
      <c r="I20" s="13"/>
      <c r="J20" s="13"/>
    </row>
    <row r="21" spans="1:10" ht="15" customHeight="1" x14ac:dyDescent="0.25">
      <c r="A21" s="12">
        <v>14316</v>
      </c>
      <c r="B21" s="12" t="s">
        <v>98</v>
      </c>
      <c r="C21" s="13"/>
      <c r="D21" s="13"/>
      <c r="E21" s="13"/>
      <c r="F21" s="14">
        <f t="shared" si="0"/>
        <v>0</v>
      </c>
      <c r="G21" s="14"/>
      <c r="H21" s="13"/>
      <c r="I21" s="13"/>
      <c r="J21" s="13"/>
    </row>
    <row r="22" spans="1:10" ht="15" customHeight="1" x14ac:dyDescent="0.25">
      <c r="A22" s="12">
        <v>14328</v>
      </c>
      <c r="B22" s="12" t="s">
        <v>130</v>
      </c>
      <c r="C22" s="13"/>
      <c r="D22" s="13"/>
      <c r="E22" s="13"/>
      <c r="F22" s="14">
        <f t="shared" si="0"/>
        <v>0</v>
      </c>
      <c r="G22" s="14"/>
      <c r="H22" s="13"/>
      <c r="I22" s="13"/>
      <c r="J22" s="13"/>
    </row>
    <row r="23" spans="1:10" ht="15" customHeight="1" x14ac:dyDescent="0.25">
      <c r="A23" s="11">
        <v>14329</v>
      </c>
      <c r="B23" s="12" t="s">
        <v>111</v>
      </c>
      <c r="C23" s="13"/>
      <c r="D23" s="13"/>
      <c r="E23" s="13"/>
      <c r="F23" s="14">
        <f t="shared" si="0"/>
        <v>0</v>
      </c>
      <c r="G23" s="14"/>
      <c r="H23" s="13"/>
      <c r="I23" s="13"/>
      <c r="J23" s="13"/>
    </row>
    <row r="24" spans="1:10" ht="15" customHeight="1" x14ac:dyDescent="0.25">
      <c r="A24" s="12">
        <v>14335</v>
      </c>
      <c r="B24" s="12" t="s">
        <v>131</v>
      </c>
      <c r="C24" s="13"/>
      <c r="D24" s="13"/>
      <c r="E24" s="13"/>
      <c r="F24" s="14">
        <f t="shared" si="0"/>
        <v>0</v>
      </c>
      <c r="G24" s="14"/>
      <c r="H24" s="13"/>
      <c r="I24" s="13"/>
      <c r="J24" s="13"/>
    </row>
    <row r="25" spans="1:10" ht="15" customHeight="1" x14ac:dyDescent="0.25">
      <c r="A25" s="12">
        <v>14338</v>
      </c>
      <c r="B25" s="12" t="s">
        <v>112</v>
      </c>
      <c r="C25" s="13"/>
      <c r="D25" s="13"/>
      <c r="E25" s="13"/>
      <c r="F25" s="14">
        <f t="shared" si="0"/>
        <v>0</v>
      </c>
      <c r="G25" s="14"/>
      <c r="H25" s="13"/>
      <c r="I25" s="13"/>
      <c r="J25" s="13"/>
    </row>
    <row r="26" spans="1:10" ht="15" customHeight="1" x14ac:dyDescent="0.25">
      <c r="A26" s="12">
        <v>14409</v>
      </c>
      <c r="B26" s="12" t="s">
        <v>113</v>
      </c>
      <c r="C26" s="13"/>
      <c r="D26" s="13"/>
      <c r="E26" s="13"/>
      <c r="F26" s="14">
        <f t="shared" si="0"/>
        <v>0</v>
      </c>
      <c r="G26" s="14"/>
      <c r="H26" s="13"/>
      <c r="I26" s="13"/>
      <c r="J26" s="13"/>
    </row>
    <row r="27" spans="1:10" ht="15" customHeight="1" x14ac:dyDescent="0.25">
      <c r="A27" s="11">
        <v>14494</v>
      </c>
      <c r="B27" s="12" t="s">
        <v>132</v>
      </c>
      <c r="C27" s="13"/>
      <c r="D27" s="13"/>
      <c r="E27" s="13"/>
      <c r="F27" s="14">
        <f t="shared" si="0"/>
        <v>0</v>
      </c>
      <c r="G27" s="14"/>
      <c r="H27" s="13"/>
      <c r="I27" s="13"/>
      <c r="J27" s="13"/>
    </row>
    <row r="28" spans="1:10" ht="15" customHeight="1" x14ac:dyDescent="0.25">
      <c r="A28" s="12">
        <v>14499</v>
      </c>
      <c r="B28" s="12" t="s">
        <v>133</v>
      </c>
      <c r="C28" s="13"/>
      <c r="D28" s="13"/>
      <c r="E28" s="13"/>
      <c r="F28" s="14">
        <f t="shared" si="0"/>
        <v>0</v>
      </c>
      <c r="G28" s="14"/>
      <c r="H28" s="13"/>
      <c r="I28" s="13"/>
      <c r="J28" s="13"/>
    </row>
    <row r="29" spans="1:10" ht="15" customHeight="1" x14ac:dyDescent="0.25">
      <c r="A29" s="11">
        <v>14524</v>
      </c>
      <c r="B29" s="12" t="s">
        <v>103</v>
      </c>
      <c r="C29" s="13"/>
      <c r="D29" s="13"/>
      <c r="E29" s="13"/>
      <c r="F29" s="14">
        <f t="shared" si="0"/>
        <v>0</v>
      </c>
      <c r="G29" s="14"/>
      <c r="H29" s="13"/>
      <c r="I29" s="13"/>
      <c r="J29" s="13"/>
    </row>
    <row r="30" spans="1:10" ht="15" customHeight="1" x14ac:dyDescent="0.25">
      <c r="A30" s="11">
        <v>14530</v>
      </c>
      <c r="B30" s="12" t="s">
        <v>114</v>
      </c>
      <c r="C30" s="13"/>
      <c r="D30" s="13"/>
      <c r="E30" s="13"/>
      <c r="F30" s="14">
        <f t="shared" si="0"/>
        <v>0</v>
      </c>
      <c r="G30" s="14"/>
      <c r="H30" s="13"/>
      <c r="I30" s="13"/>
      <c r="J30" s="13"/>
    </row>
    <row r="31" spans="1:10" ht="15" customHeight="1" x14ac:dyDescent="0.25">
      <c r="A31" s="12">
        <v>14550</v>
      </c>
      <c r="B31" s="12" t="s">
        <v>89</v>
      </c>
      <c r="C31" s="13"/>
      <c r="D31" s="13"/>
      <c r="E31" s="13"/>
      <c r="F31" s="14">
        <f t="shared" si="0"/>
        <v>0</v>
      </c>
      <c r="G31" s="14"/>
      <c r="H31" s="13"/>
      <c r="I31" s="13"/>
      <c r="J31" s="13"/>
    </row>
    <row r="32" spans="1:10" ht="15" customHeight="1" x14ac:dyDescent="0.25">
      <c r="A32" s="11">
        <v>14598</v>
      </c>
      <c r="B32" s="12" t="s">
        <v>104</v>
      </c>
      <c r="C32" s="13"/>
      <c r="D32" s="13"/>
      <c r="E32" s="13"/>
      <c r="F32" s="14">
        <f t="shared" si="0"/>
        <v>0</v>
      </c>
      <c r="G32" s="14"/>
      <c r="H32" s="13"/>
      <c r="I32" s="13"/>
      <c r="J32" s="13"/>
    </row>
    <row r="33" spans="1:10" ht="15" customHeight="1" x14ac:dyDescent="0.25">
      <c r="A33" s="12">
        <v>14606</v>
      </c>
      <c r="B33" s="12" t="s">
        <v>115</v>
      </c>
      <c r="C33" s="13"/>
      <c r="D33" s="13"/>
      <c r="E33" s="13"/>
      <c r="F33" s="14">
        <f t="shared" si="0"/>
        <v>0</v>
      </c>
      <c r="G33" s="14"/>
      <c r="H33" s="13"/>
      <c r="I33" s="13"/>
      <c r="J33" s="13"/>
    </row>
    <row r="34" spans="1:10" ht="15" customHeight="1" x14ac:dyDescent="0.25">
      <c r="A34" s="11">
        <v>14657</v>
      </c>
      <c r="B34" s="12" t="s">
        <v>134</v>
      </c>
      <c r="C34" s="13"/>
      <c r="D34" s="13"/>
      <c r="E34" s="13"/>
      <c r="F34" s="14">
        <f t="shared" si="0"/>
        <v>0</v>
      </c>
      <c r="G34" s="14"/>
      <c r="H34" s="13"/>
      <c r="I34" s="13"/>
      <c r="J34" s="13"/>
    </row>
    <row r="35" spans="1:10" ht="15" customHeight="1" x14ac:dyDescent="0.25">
      <c r="A35" s="12">
        <v>14660</v>
      </c>
      <c r="B35" s="12" t="s">
        <v>116</v>
      </c>
      <c r="C35" s="13"/>
      <c r="D35" s="13"/>
      <c r="E35" s="13"/>
      <c r="F35" s="14">
        <f t="shared" si="0"/>
        <v>0</v>
      </c>
      <c r="G35" s="14"/>
      <c r="H35" s="13"/>
      <c r="I35" s="13"/>
      <c r="J35" s="13"/>
    </row>
    <row r="36" spans="1:10" ht="15" customHeight="1" x14ac:dyDescent="0.25">
      <c r="A36" s="11">
        <v>14665</v>
      </c>
      <c r="B36" s="12" t="s">
        <v>90</v>
      </c>
      <c r="C36" s="13"/>
      <c r="D36" s="13"/>
      <c r="E36" s="13"/>
      <c r="F36" s="14">
        <f t="shared" si="0"/>
        <v>0</v>
      </c>
      <c r="G36" s="14"/>
      <c r="H36" s="13"/>
      <c r="I36" s="13"/>
      <c r="J36" s="13"/>
    </row>
    <row r="37" spans="1:10" ht="15" customHeight="1" x14ac:dyDescent="0.25">
      <c r="A37" s="12">
        <v>14698</v>
      </c>
      <c r="B37" s="12" t="s">
        <v>135</v>
      </c>
      <c r="C37" s="13"/>
      <c r="D37" s="13"/>
      <c r="E37" s="13"/>
      <c r="F37" s="14">
        <f t="shared" si="0"/>
        <v>0</v>
      </c>
      <c r="G37" s="14"/>
      <c r="H37" s="13"/>
      <c r="I37" s="13"/>
      <c r="J37" s="13"/>
    </row>
    <row r="38" spans="1:10" ht="15" customHeight="1" x14ac:dyDescent="0.25">
      <c r="A38" s="11">
        <v>14724</v>
      </c>
      <c r="B38" s="12" t="s">
        <v>117</v>
      </c>
      <c r="C38" s="13"/>
      <c r="D38" s="13"/>
      <c r="E38" s="13"/>
      <c r="F38" s="14">
        <f t="shared" si="0"/>
        <v>0</v>
      </c>
      <c r="G38" s="14"/>
      <c r="H38" s="13"/>
      <c r="I38" s="13"/>
      <c r="J38" s="13"/>
    </row>
    <row r="39" spans="1:10" ht="15" customHeight="1" x14ac:dyDescent="0.25">
      <c r="A39" s="12">
        <v>14743</v>
      </c>
      <c r="B39" s="12" t="s">
        <v>136</v>
      </c>
      <c r="C39" s="13"/>
      <c r="D39" s="13"/>
      <c r="E39" s="13"/>
      <c r="F39" s="14">
        <f t="shared" si="0"/>
        <v>0</v>
      </c>
      <c r="G39" s="14"/>
      <c r="H39" s="13"/>
      <c r="I39" s="13"/>
      <c r="J39" s="13"/>
    </row>
    <row r="40" spans="1:10" ht="15" customHeight="1" x14ac:dyDescent="0.25">
      <c r="A40" s="12"/>
      <c r="B40" s="15" t="s">
        <v>124</v>
      </c>
      <c r="C40" s="16">
        <v>18</v>
      </c>
      <c r="D40" s="16">
        <v>23</v>
      </c>
      <c r="E40" s="16">
        <v>107</v>
      </c>
      <c r="F40" s="17">
        <v>148</v>
      </c>
      <c r="G40" s="17"/>
      <c r="H40" s="13"/>
      <c r="I40" s="13"/>
      <c r="J40" s="13"/>
    </row>
  </sheetData>
  <dataValidations count="3">
    <dataValidation type="list" allowBlank="1" sqref="H2:H39" xr:uid="{00000000-0002-0000-0100-000000000000}">
      <formula1>"À programmer,Programmée,Faite"</formula1>
      <formula2>0</formula2>
    </dataValidation>
    <dataValidation type="list" allowBlank="1" sqref="I2:I39" xr:uid="{00000000-0002-0000-0100-000001000000}">
      <formula1>"Non,Partiellement,Oui"</formula1>
      <formula2>0</formula2>
    </dataValidation>
    <dataValidation type="list" allowBlank="1" sqref="J2:J39" xr:uid="{00000000-0002-0000-0100-000002000000}">
      <formula1>"Non démarrée,En cours (délibérations),Signée"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9E4C-2E73-482E-9714-078469388EEA}">
  <dimension ref="D2:J34"/>
  <sheetViews>
    <sheetView zoomScale="130" zoomScaleNormal="130" workbookViewId="0">
      <selection activeCell="M8" sqref="M8"/>
    </sheetView>
  </sheetViews>
  <sheetFormatPr baseColWidth="10" defaultRowHeight="15" x14ac:dyDescent="0.25"/>
  <cols>
    <col min="4" max="4" width="23.7109375" customWidth="1"/>
    <col min="5" max="5" width="16.7109375" customWidth="1"/>
    <col min="9" max="9" width="23.28515625" customWidth="1"/>
  </cols>
  <sheetData>
    <row r="2" spans="4:10" x14ac:dyDescent="0.25">
      <c r="D2" s="45" t="s">
        <v>405</v>
      </c>
      <c r="E2" s="45" t="s">
        <v>410</v>
      </c>
      <c r="F2" s="45" t="s">
        <v>404</v>
      </c>
    </row>
    <row r="3" spans="4:10" x14ac:dyDescent="0.25">
      <c r="D3" t="s">
        <v>105</v>
      </c>
      <c r="E3">
        <v>5</v>
      </c>
      <c r="F3" t="s">
        <v>408</v>
      </c>
    </row>
    <row r="4" spans="4:10" x14ac:dyDescent="0.25">
      <c r="D4" t="s">
        <v>84</v>
      </c>
      <c r="E4">
        <v>3</v>
      </c>
      <c r="F4" t="s">
        <v>409</v>
      </c>
      <c r="I4" t="s">
        <v>408</v>
      </c>
      <c r="J4">
        <f>+SUMIFS($E$3:$E$34,$F$3:$F$34,I4)</f>
        <v>19</v>
      </c>
    </row>
    <row r="5" spans="4:10" x14ac:dyDescent="0.25">
      <c r="D5" t="s">
        <v>106</v>
      </c>
      <c r="E5">
        <v>4</v>
      </c>
      <c r="F5" t="s">
        <v>406</v>
      </c>
      <c r="I5" t="s">
        <v>409</v>
      </c>
      <c r="J5">
        <f t="shared" ref="J5:J7" si="0">+SUMIFS($E$3:$E$34,$F$3:$F$34,I5)</f>
        <v>21</v>
      </c>
    </row>
    <row r="6" spans="4:10" x14ac:dyDescent="0.25">
      <c r="D6" t="s">
        <v>99</v>
      </c>
      <c r="E6">
        <v>1</v>
      </c>
      <c r="F6" t="s">
        <v>407</v>
      </c>
      <c r="I6" t="s">
        <v>407</v>
      </c>
      <c r="J6">
        <f t="shared" si="0"/>
        <v>40</v>
      </c>
    </row>
    <row r="7" spans="4:10" x14ac:dyDescent="0.25">
      <c r="D7" t="s">
        <v>107</v>
      </c>
      <c r="E7">
        <v>8</v>
      </c>
      <c r="F7" t="s">
        <v>408</v>
      </c>
      <c r="I7" t="s">
        <v>406</v>
      </c>
      <c r="J7">
        <f t="shared" si="0"/>
        <v>59</v>
      </c>
    </row>
    <row r="8" spans="4:10" x14ac:dyDescent="0.25">
      <c r="D8" t="s">
        <v>100</v>
      </c>
      <c r="E8">
        <v>2</v>
      </c>
      <c r="F8" t="s">
        <v>407</v>
      </c>
    </row>
    <row r="9" spans="4:10" x14ac:dyDescent="0.25">
      <c r="D9" t="s">
        <v>101</v>
      </c>
      <c r="E9">
        <v>2</v>
      </c>
      <c r="F9" t="s">
        <v>407</v>
      </c>
    </row>
    <row r="10" spans="4:10" x14ac:dyDescent="0.25">
      <c r="D10" t="s">
        <v>108</v>
      </c>
      <c r="E10">
        <v>1</v>
      </c>
      <c r="F10" t="s">
        <v>408</v>
      </c>
    </row>
    <row r="11" spans="4:10" x14ac:dyDescent="0.25">
      <c r="D11" t="s">
        <v>102</v>
      </c>
      <c r="E11">
        <v>4</v>
      </c>
      <c r="F11" t="s">
        <v>409</v>
      </c>
    </row>
    <row r="12" spans="4:10" x14ac:dyDescent="0.25">
      <c r="D12" t="s">
        <v>109</v>
      </c>
      <c r="E12">
        <v>4</v>
      </c>
      <c r="F12" t="s">
        <v>406</v>
      </c>
    </row>
    <row r="13" spans="4:10" x14ac:dyDescent="0.25">
      <c r="D13" t="s">
        <v>93</v>
      </c>
      <c r="E13">
        <v>1</v>
      </c>
      <c r="F13" t="s">
        <v>407</v>
      </c>
    </row>
    <row r="14" spans="4:10" x14ac:dyDescent="0.25">
      <c r="D14" t="s">
        <v>94</v>
      </c>
      <c r="E14">
        <v>2</v>
      </c>
      <c r="F14" t="s">
        <v>407</v>
      </c>
    </row>
    <row r="15" spans="4:10" x14ac:dyDescent="0.25">
      <c r="D15" t="s">
        <v>110</v>
      </c>
      <c r="E15">
        <v>8</v>
      </c>
      <c r="F15" t="s">
        <v>406</v>
      </c>
    </row>
    <row r="16" spans="4:10" x14ac:dyDescent="0.25">
      <c r="D16" t="s">
        <v>95</v>
      </c>
      <c r="E16">
        <v>3</v>
      </c>
      <c r="F16" t="s">
        <v>407</v>
      </c>
    </row>
    <row r="17" spans="4:6" x14ac:dyDescent="0.25">
      <c r="D17" t="s">
        <v>86</v>
      </c>
      <c r="E17">
        <v>14</v>
      </c>
      <c r="F17" t="s">
        <v>407</v>
      </c>
    </row>
    <row r="18" spans="4:6" x14ac:dyDescent="0.25">
      <c r="D18" t="s">
        <v>96</v>
      </c>
      <c r="E18">
        <v>3</v>
      </c>
      <c r="F18" t="s">
        <v>408</v>
      </c>
    </row>
    <row r="19" spans="4:6" x14ac:dyDescent="0.25">
      <c r="D19" t="s">
        <v>88</v>
      </c>
      <c r="E19">
        <v>8</v>
      </c>
      <c r="F19" t="s">
        <v>406</v>
      </c>
    </row>
    <row r="20" spans="4:6" x14ac:dyDescent="0.25">
      <c r="D20" t="s">
        <v>97</v>
      </c>
      <c r="E20">
        <v>1</v>
      </c>
      <c r="F20" t="s">
        <v>407</v>
      </c>
    </row>
    <row r="21" spans="4:6" x14ac:dyDescent="0.25">
      <c r="D21" t="s">
        <v>98</v>
      </c>
      <c r="E21">
        <v>7</v>
      </c>
      <c r="F21" t="s">
        <v>409</v>
      </c>
    </row>
    <row r="22" spans="4:6" x14ac:dyDescent="0.25">
      <c r="D22" t="s">
        <v>111</v>
      </c>
      <c r="E22">
        <v>1</v>
      </c>
      <c r="F22" t="s">
        <v>409</v>
      </c>
    </row>
    <row r="23" spans="4:6" x14ac:dyDescent="0.25">
      <c r="D23" t="s">
        <v>112</v>
      </c>
      <c r="E23">
        <v>16</v>
      </c>
      <c r="F23" t="s">
        <v>406</v>
      </c>
    </row>
    <row r="24" spans="4:6" x14ac:dyDescent="0.25">
      <c r="D24" t="s">
        <v>113</v>
      </c>
      <c r="E24">
        <v>4</v>
      </c>
      <c r="F24" t="s">
        <v>406</v>
      </c>
    </row>
    <row r="25" spans="4:6" x14ac:dyDescent="0.25">
      <c r="D25" t="s">
        <v>114</v>
      </c>
      <c r="E25">
        <v>2</v>
      </c>
      <c r="F25" t="s">
        <v>408</v>
      </c>
    </row>
    <row r="26" spans="4:6" x14ac:dyDescent="0.25">
      <c r="D26" t="s">
        <v>89</v>
      </c>
      <c r="E26">
        <v>3</v>
      </c>
      <c r="F26" t="s">
        <v>407</v>
      </c>
    </row>
    <row r="27" spans="4:6" x14ac:dyDescent="0.25">
      <c r="D27" t="s">
        <v>104</v>
      </c>
      <c r="E27">
        <v>4</v>
      </c>
      <c r="F27" t="s">
        <v>409</v>
      </c>
    </row>
    <row r="28" spans="4:6" x14ac:dyDescent="0.25">
      <c r="D28" t="s">
        <v>115</v>
      </c>
      <c r="E28">
        <v>2</v>
      </c>
      <c r="F28" t="s">
        <v>409</v>
      </c>
    </row>
    <row r="29" spans="4:6" x14ac:dyDescent="0.25">
      <c r="D29" t="s">
        <v>134</v>
      </c>
      <c r="E29">
        <v>1</v>
      </c>
      <c r="F29" t="s">
        <v>407</v>
      </c>
    </row>
    <row r="30" spans="4:6" x14ac:dyDescent="0.25">
      <c r="D30" t="s">
        <v>116</v>
      </c>
      <c r="E30">
        <v>1</v>
      </c>
      <c r="F30" t="s">
        <v>406</v>
      </c>
    </row>
    <row r="31" spans="4:6" x14ac:dyDescent="0.25">
      <c r="D31" t="s">
        <v>90</v>
      </c>
      <c r="E31">
        <v>5</v>
      </c>
      <c r="F31" t="s">
        <v>406</v>
      </c>
    </row>
    <row r="32" spans="4:6" x14ac:dyDescent="0.25">
      <c r="D32" t="s">
        <v>117</v>
      </c>
      <c r="E32">
        <v>9</v>
      </c>
      <c r="F32" t="s">
        <v>406</v>
      </c>
    </row>
    <row r="33" spans="4:6" x14ac:dyDescent="0.25">
      <c r="D33" t="s">
        <v>136</v>
      </c>
      <c r="E33">
        <v>9</v>
      </c>
      <c r="F33" t="s">
        <v>407</v>
      </c>
    </row>
    <row r="34" spans="4:6" x14ac:dyDescent="0.25">
      <c r="D34" t="s">
        <v>92</v>
      </c>
      <c r="E34">
        <v>1</v>
      </c>
      <c r="F34" t="s">
        <v>407</v>
      </c>
    </row>
  </sheetData>
  <autoFilter ref="D2:F34" xr:uid="{40499E4C-2E73-482E-9714-078469388EEA}">
    <sortState xmlns:xlrd2="http://schemas.microsoft.com/office/spreadsheetml/2017/richdata2" ref="D3:F34">
      <sortCondition ref="D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7651E-ABAC-4193-9C9A-44ECBE09D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BDD_SUIVI_CHANTIERS</vt:lpstr>
      <vt:lpstr>PRIORISATION-1</vt:lpstr>
      <vt:lpstr>PRIORISATION-ETAT</vt:lpstr>
      <vt:lpstr>PRESENTATION</vt:lpstr>
      <vt:lpstr>CHANTIERS</vt:lpstr>
      <vt:lpstr>RETROPLANNING_VISUEL</vt:lpstr>
      <vt:lpstr>RETROPLANNING</vt:lpstr>
      <vt:lpstr>SYNTHESE_TRAVAUX</vt:lpstr>
      <vt:lpstr>Feuil1</vt:lpstr>
      <vt:lpstr>RETROPLANNING_VISUEL!Impression_des_titres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Yves MARTI</dc:creator>
  <cp:keywords/>
  <dc:description/>
  <cp:lastModifiedBy>Yves MARTI</cp:lastModifiedBy>
  <cp:revision>0</cp:revision>
  <dcterms:created xsi:type="dcterms:W3CDTF">2026-06-02T08:58:33Z</dcterms:created>
  <dcterms:modified xsi:type="dcterms:W3CDTF">2026-10-12T09:03:40Z</dcterms:modified>
  <cp:category/>
  <cp:contentStatus/>
</cp:coreProperties>
</file>