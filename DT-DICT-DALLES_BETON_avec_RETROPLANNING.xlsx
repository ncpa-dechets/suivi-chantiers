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84E72929-145E-462C-A021-AFCE1D5CF5E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<sst xmlns="http://schemas.openxmlformats.org/spreadsheetml/2006/main" count="1939" uniqueCount="542">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</sst>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24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tabSelected="1" workbookViewId="0">
      <selection activeCell="C18" sqref="C1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14070</v>
      </c>
      <c r="B3" t="s">
        <v>101</v>
      </c>
      <c r="C3" t="s">
        <v>91</v>
      </c>
      <c r="D3" t="s">
        <v>530</v>
      </c>
      <c r="E3" t="s">
        <v>531</v>
      </c>
      <c r="F3" t="s">
        <v>258</v>
      </c>
    </row>
    <row r="4" spans="1:7" x14ac:dyDescent="0.25">
      <c r="A4">
        <v>14070</v>
      </c>
      <c r="B4" t="s">
        <v>101</v>
      </c>
      <c r="C4" t="s">
        <v>91</v>
      </c>
      <c r="D4" t="s">
        <v>532</v>
      </c>
      <c r="E4" t="s">
        <v>533</v>
      </c>
      <c r="F4" t="s">
        <v>258</v>
      </c>
    </row>
    <row r="5" spans="1:7" x14ac:dyDescent="0.25">
      <c r="A5">
        <v>14117</v>
      </c>
      <c r="B5" t="s">
        <v>109</v>
      </c>
      <c r="C5" t="s">
        <v>91</v>
      </c>
      <c r="D5" t="s">
        <v>411</v>
      </c>
      <c r="E5" t="s">
        <v>412</v>
      </c>
      <c r="F5" t="s">
        <v>258</v>
      </c>
    </row>
    <row r="6" spans="1:7" x14ac:dyDescent="0.25">
      <c r="A6">
        <v>14117</v>
      </c>
      <c r="B6" t="s">
        <v>109</v>
      </c>
      <c r="C6" t="s">
        <v>91</v>
      </c>
      <c r="D6" t="s">
        <v>413</v>
      </c>
      <c r="E6" t="s">
        <v>414</v>
      </c>
      <c r="F6" t="s">
        <v>258</v>
      </c>
    </row>
    <row r="7" spans="1:7" x14ac:dyDescent="0.25">
      <c r="A7">
        <v>14203</v>
      </c>
      <c r="B7" t="s">
        <v>94</v>
      </c>
      <c r="C7" t="s">
        <v>91</v>
      </c>
      <c r="D7" t="s">
        <v>394</v>
      </c>
      <c r="E7" t="s">
        <v>395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509</v>
      </c>
      <c r="E8" t="s">
        <v>510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415</v>
      </c>
      <c r="E9" t="s">
        <v>416</v>
      </c>
      <c r="F9" t="s">
        <v>258</v>
      </c>
    </row>
    <row r="10" spans="1:7" x14ac:dyDescent="0.25">
      <c r="A10">
        <v>14229</v>
      </c>
      <c r="B10" t="s">
        <v>86</v>
      </c>
      <c r="C10" t="s">
        <v>91</v>
      </c>
      <c r="D10" t="s">
        <v>417</v>
      </c>
      <c r="E10" t="s">
        <v>418</v>
      </c>
      <c r="F10" t="s">
        <v>258</v>
      </c>
    </row>
    <row r="11" spans="1:7" x14ac:dyDescent="0.25">
      <c r="A11">
        <v>14231</v>
      </c>
      <c r="B11" t="s">
        <v>100</v>
      </c>
      <c r="C11" t="s">
        <v>91</v>
      </c>
      <c r="D11" t="s">
        <v>396</v>
      </c>
      <c r="E11" t="s">
        <v>397</v>
      </c>
      <c r="F11" t="s">
        <v>258</v>
      </c>
    </row>
    <row r="12" spans="1:7" x14ac:dyDescent="0.25">
      <c r="A12">
        <v>14246</v>
      </c>
      <c r="B12" t="s">
        <v>129</v>
      </c>
      <c r="C12" t="s">
        <v>91</v>
      </c>
      <c r="D12" t="s">
        <v>511</v>
      </c>
      <c r="E12" t="s">
        <v>512</v>
      </c>
      <c r="F12" t="s">
        <v>258</v>
      </c>
    </row>
    <row r="13" spans="1:7" x14ac:dyDescent="0.25">
      <c r="A13">
        <v>14306</v>
      </c>
      <c r="B13" t="s">
        <v>96</v>
      </c>
      <c r="C13" t="s">
        <v>91</v>
      </c>
      <c r="D13" t="s">
        <v>419</v>
      </c>
      <c r="E13" t="s">
        <v>420</v>
      </c>
      <c r="F13" t="s">
        <v>258</v>
      </c>
    </row>
    <row r="14" spans="1:7" x14ac:dyDescent="0.25">
      <c r="A14">
        <v>14316</v>
      </c>
      <c r="B14" t="s">
        <v>98</v>
      </c>
      <c r="C14" t="s">
        <v>91</v>
      </c>
      <c r="D14" t="s">
        <v>515</v>
      </c>
      <c r="E14" t="s">
        <v>516</v>
      </c>
      <c r="F14" t="s">
        <v>258</v>
      </c>
    </row>
    <row r="15" spans="1:7" x14ac:dyDescent="0.25">
      <c r="A15">
        <v>14338</v>
      </c>
      <c r="B15" t="s">
        <v>112</v>
      </c>
      <c r="C15" t="s">
        <v>91</v>
      </c>
      <c r="D15" t="s">
        <v>398</v>
      </c>
      <c r="E15" t="s">
        <v>399</v>
      </c>
      <c r="F15" t="s">
        <v>258</v>
      </c>
    </row>
    <row r="16" spans="1:7" x14ac:dyDescent="0.25">
      <c r="A16">
        <v>14524</v>
      </c>
      <c r="B16" t="s">
        <v>103</v>
      </c>
      <c r="C16" t="s">
        <v>91</v>
      </c>
      <c r="D16" t="s">
        <v>202</v>
      </c>
      <c r="E16" t="s">
        <v>203</v>
      </c>
      <c r="F16" t="s">
        <v>258</v>
      </c>
    </row>
    <row r="17" spans="1:6" x14ac:dyDescent="0.25">
      <c r="A17">
        <v>14530</v>
      </c>
      <c r="B17" t="s">
        <v>114</v>
      </c>
      <c r="C17" t="s">
        <v>91</v>
      </c>
      <c r="D17" t="s">
        <v>479</v>
      </c>
      <c r="E17" t="s">
        <v>480</v>
      </c>
      <c r="F17" t="s">
        <v>258</v>
      </c>
    </row>
    <row r="18" spans="1:6" x14ac:dyDescent="0.25">
      <c r="A18">
        <v>14598</v>
      </c>
      <c r="B18" t="s">
        <v>104</v>
      </c>
      <c r="C18" t="s">
        <v>91</v>
      </c>
      <c r="D18" t="s">
        <v>400</v>
      </c>
      <c r="E18" t="s">
        <v>401</v>
      </c>
      <c r="F18" t="s">
        <v>258</v>
      </c>
    </row>
    <row r="19" spans="1:6" x14ac:dyDescent="0.25">
      <c r="A19">
        <v>14665</v>
      </c>
      <c r="B19" t="s">
        <v>90</v>
      </c>
      <c r="C19" t="s">
        <v>91</v>
      </c>
      <c r="D19" t="s">
        <v>204</v>
      </c>
      <c r="E19" t="s">
        <v>205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392</v>
      </c>
      <c r="E20" t="s">
        <v>393</v>
      </c>
      <c r="F20" t="s">
        <v>258</v>
      </c>
    </row>
    <row r="21" spans="1:6" x14ac:dyDescent="0.25">
      <c r="A21">
        <v>14743</v>
      </c>
      <c r="B21" t="s">
        <v>136</v>
      </c>
      <c r="C21" t="s">
        <v>91</v>
      </c>
      <c r="D21" t="s">
        <v>402</v>
      </c>
      <c r="E21" t="s">
        <v>403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150</v>
      </c>
      <c r="E22" t="s">
        <v>151</v>
      </c>
      <c r="F22" t="s">
        <v>258</v>
      </c>
    </row>
    <row r="23" spans="1:6" x14ac:dyDescent="0.25">
      <c r="A23">
        <v>14009</v>
      </c>
      <c r="B23" t="s">
        <v>105</v>
      </c>
      <c r="C23" t="s">
        <v>87</v>
      </c>
      <c r="D23" t="s">
        <v>152</v>
      </c>
      <c r="E23" t="s">
        <v>153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493</v>
      </c>
      <c r="E26" t="s">
        <v>494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503</v>
      </c>
      <c r="E30" t="s">
        <v>504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495</v>
      </c>
      <c r="E31" t="s">
        <v>496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497</v>
      </c>
      <c r="E36" t="s">
        <v>498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513</v>
      </c>
      <c r="E38" t="s">
        <v>514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499</v>
      </c>
      <c r="E39" t="s">
        <v>500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501</v>
      </c>
      <c r="E41" t="s">
        <v>502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136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14012</v>
      </c>
      <c r="B51" t="s">
        <v>84</v>
      </c>
      <c r="C51" t="s">
        <v>85</v>
      </c>
      <c r="D51" t="s">
        <v>423</v>
      </c>
      <c r="E51" t="s">
        <v>424</v>
      </c>
      <c r="F51" t="s">
        <v>258</v>
      </c>
      <c r="G51" t="s">
        <v>425</v>
      </c>
    </row>
    <row r="52" spans="1:7" x14ac:dyDescent="0.25">
      <c r="A52">
        <v>14012</v>
      </c>
      <c r="B52" t="s">
        <v>84</v>
      </c>
      <c r="C52" t="s">
        <v>85</v>
      </c>
      <c r="D52" t="s">
        <v>259</v>
      </c>
      <c r="E52" t="s">
        <v>260</v>
      </c>
      <c r="F52" t="s">
        <v>258</v>
      </c>
      <c r="G52" t="s">
        <v>422</v>
      </c>
    </row>
    <row r="53" spans="1:7" x14ac:dyDescent="0.25">
      <c r="A53">
        <v>14012</v>
      </c>
      <c r="B53" t="s">
        <v>84</v>
      </c>
      <c r="C53" t="s">
        <v>85</v>
      </c>
      <c r="D53" t="s">
        <v>261</v>
      </c>
      <c r="E53" t="s">
        <v>262</v>
      </c>
      <c r="F53" t="s">
        <v>258</v>
      </c>
      <c r="G53" t="s">
        <v>426</v>
      </c>
    </row>
    <row r="54" spans="1:7" x14ac:dyDescent="0.25">
      <c r="A54">
        <v>14012</v>
      </c>
      <c r="B54" t="s">
        <v>84</v>
      </c>
      <c r="C54" t="s">
        <v>85</v>
      </c>
      <c r="D54" t="s">
        <v>263</v>
      </c>
      <c r="E54" t="s">
        <v>264</v>
      </c>
      <c r="F54" t="s">
        <v>258</v>
      </c>
      <c r="G54" t="s">
        <v>426</v>
      </c>
    </row>
    <row r="55" spans="1:7" x14ac:dyDescent="0.25">
      <c r="A55">
        <v>14024</v>
      </c>
      <c r="B55" t="s">
        <v>106</v>
      </c>
      <c r="C55" t="s">
        <v>85</v>
      </c>
      <c r="D55" t="s">
        <v>265</v>
      </c>
      <c r="E55" t="s">
        <v>266</v>
      </c>
      <c r="F55" t="s">
        <v>258</v>
      </c>
      <c r="G55" t="s">
        <v>422</v>
      </c>
    </row>
    <row r="56" spans="1:7" x14ac:dyDescent="0.25">
      <c r="A56">
        <v>14024</v>
      </c>
      <c r="B56" t="s">
        <v>106</v>
      </c>
      <c r="C56" t="s">
        <v>85</v>
      </c>
      <c r="D56" t="s">
        <v>216</v>
      </c>
      <c r="E56" t="s">
        <v>217</v>
      </c>
      <c r="F56" t="s">
        <v>258</v>
      </c>
      <c r="G56" t="s">
        <v>422</v>
      </c>
    </row>
    <row r="57" spans="1:7" x14ac:dyDescent="0.25">
      <c r="A57">
        <v>14045</v>
      </c>
      <c r="B57" t="s">
        <v>99</v>
      </c>
      <c r="C57" t="s">
        <v>85</v>
      </c>
      <c r="D57" t="s">
        <v>427</v>
      </c>
      <c r="E57" t="s">
        <v>428</v>
      </c>
      <c r="F57" t="s">
        <v>258</v>
      </c>
      <c r="G57" t="s">
        <v>425</v>
      </c>
    </row>
    <row r="58" spans="1:7" x14ac:dyDescent="0.25">
      <c r="A58">
        <v>14045</v>
      </c>
      <c r="B58" t="s">
        <v>99</v>
      </c>
      <c r="C58" t="s">
        <v>85</v>
      </c>
      <c r="D58" t="s">
        <v>269</v>
      </c>
      <c r="E58" t="s">
        <v>270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429</v>
      </c>
      <c r="E59" t="s">
        <v>430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431</v>
      </c>
      <c r="E60" t="s">
        <v>432</v>
      </c>
      <c r="F60" t="s">
        <v>258</v>
      </c>
      <c r="G60" t="s">
        <v>425</v>
      </c>
    </row>
    <row r="61" spans="1:7" x14ac:dyDescent="0.25">
      <c r="A61">
        <v>14046</v>
      </c>
      <c r="B61" t="s">
        <v>107</v>
      </c>
      <c r="C61" t="s">
        <v>85</v>
      </c>
      <c r="D61" t="s">
        <v>271</v>
      </c>
      <c r="E61" t="s">
        <v>272</v>
      </c>
      <c r="F61" t="s">
        <v>258</v>
      </c>
      <c r="G61" t="s">
        <v>422</v>
      </c>
    </row>
    <row r="62" spans="1:7" x14ac:dyDescent="0.25">
      <c r="A62">
        <v>14046</v>
      </c>
      <c r="B62" t="s">
        <v>107</v>
      </c>
      <c r="C62" t="s">
        <v>85</v>
      </c>
      <c r="D62" t="s">
        <v>273</v>
      </c>
      <c r="E62" t="s">
        <v>274</v>
      </c>
      <c r="F62" t="s">
        <v>258</v>
      </c>
      <c r="G62" t="s">
        <v>426</v>
      </c>
    </row>
    <row r="63" spans="1:7" x14ac:dyDescent="0.25">
      <c r="A63">
        <v>14046</v>
      </c>
      <c r="B63" t="s">
        <v>107</v>
      </c>
      <c r="C63" t="s">
        <v>85</v>
      </c>
      <c r="D63" t="s">
        <v>275</v>
      </c>
      <c r="E63" t="s">
        <v>276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534</v>
      </c>
      <c r="E64" t="s">
        <v>535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279</v>
      </c>
      <c r="E65" t="s">
        <v>280</v>
      </c>
      <c r="F65" t="s">
        <v>258</v>
      </c>
      <c r="G65" t="s">
        <v>426</v>
      </c>
    </row>
    <row r="66" spans="1:7" x14ac:dyDescent="0.25">
      <c r="A66">
        <v>14231</v>
      </c>
      <c r="B66" t="s">
        <v>100</v>
      </c>
      <c r="C66" t="s">
        <v>85</v>
      </c>
      <c r="D66" t="s">
        <v>281</v>
      </c>
      <c r="E66" t="s">
        <v>282</v>
      </c>
      <c r="F66" t="s">
        <v>258</v>
      </c>
      <c r="G66" t="s">
        <v>422</v>
      </c>
    </row>
    <row r="67" spans="1:7" x14ac:dyDescent="0.25">
      <c r="A67">
        <v>14070</v>
      </c>
      <c r="B67" t="s">
        <v>101</v>
      </c>
      <c r="C67" t="s">
        <v>85</v>
      </c>
      <c r="D67" t="s">
        <v>283</v>
      </c>
      <c r="E67" t="s">
        <v>284</v>
      </c>
      <c r="F67" t="s">
        <v>258</v>
      </c>
      <c r="G67" t="s">
        <v>426</v>
      </c>
    </row>
    <row r="68" spans="1:7" x14ac:dyDescent="0.25">
      <c r="A68">
        <v>14070</v>
      </c>
      <c r="B68" t="s">
        <v>101</v>
      </c>
      <c r="C68" t="s">
        <v>85</v>
      </c>
      <c r="D68" t="s">
        <v>285</v>
      </c>
      <c r="E68" t="s">
        <v>286</v>
      </c>
      <c r="F68" t="s">
        <v>258</v>
      </c>
      <c r="G68" t="s">
        <v>422</v>
      </c>
    </row>
    <row r="69" spans="1:7" x14ac:dyDescent="0.25">
      <c r="A69">
        <v>14106</v>
      </c>
      <c r="B69" t="s">
        <v>108</v>
      </c>
      <c r="C69" t="s">
        <v>85</v>
      </c>
      <c r="D69" t="s">
        <v>287</v>
      </c>
      <c r="E69" t="s">
        <v>288</v>
      </c>
      <c r="F69" t="s">
        <v>258</v>
      </c>
      <c r="G69" t="s">
        <v>425</v>
      </c>
    </row>
    <row r="70" spans="1:7" x14ac:dyDescent="0.25">
      <c r="A70">
        <v>14110</v>
      </c>
      <c r="B70" t="s">
        <v>102</v>
      </c>
      <c r="C70" t="s">
        <v>85</v>
      </c>
      <c r="D70" t="s">
        <v>289</v>
      </c>
      <c r="E70" t="s">
        <v>290</v>
      </c>
      <c r="F70" t="s">
        <v>258</v>
      </c>
      <c r="G70" t="s">
        <v>422</v>
      </c>
    </row>
    <row r="71" spans="1:7" x14ac:dyDescent="0.25">
      <c r="A71">
        <v>14110</v>
      </c>
      <c r="B71" t="s">
        <v>102</v>
      </c>
      <c r="C71" t="s">
        <v>85</v>
      </c>
      <c r="D71" t="s">
        <v>291</v>
      </c>
      <c r="E71" t="s">
        <v>292</v>
      </c>
      <c r="F71" t="s">
        <v>258</v>
      </c>
      <c r="G71" t="s">
        <v>422</v>
      </c>
    </row>
    <row r="72" spans="1:7" x14ac:dyDescent="0.25">
      <c r="A72">
        <v>14110</v>
      </c>
      <c r="B72" t="s">
        <v>102</v>
      </c>
      <c r="C72" t="s">
        <v>85</v>
      </c>
      <c r="D72" t="s">
        <v>293</v>
      </c>
      <c r="E72" t="s">
        <v>294</v>
      </c>
      <c r="F72" t="s">
        <v>258</v>
      </c>
      <c r="G72" t="s">
        <v>422</v>
      </c>
    </row>
    <row r="73" spans="1:7" x14ac:dyDescent="0.25">
      <c r="A73">
        <v>14117</v>
      </c>
      <c r="B73" t="s">
        <v>109</v>
      </c>
      <c r="C73" t="s">
        <v>85</v>
      </c>
      <c r="D73" t="s">
        <v>505</v>
      </c>
      <c r="E73" t="s">
        <v>506</v>
      </c>
      <c r="F73" t="s">
        <v>258</v>
      </c>
      <c r="G73" t="s">
        <v>422</v>
      </c>
    </row>
    <row r="74" spans="1:7" x14ac:dyDescent="0.25">
      <c r="A74">
        <v>14117</v>
      </c>
      <c r="B74" t="s">
        <v>109</v>
      </c>
      <c r="C74" t="s">
        <v>85</v>
      </c>
      <c r="D74" t="s">
        <v>297</v>
      </c>
      <c r="E74" t="s">
        <v>298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536</v>
      </c>
      <c r="E75" t="s">
        <v>537</v>
      </c>
      <c r="F75" t="s">
        <v>258</v>
      </c>
      <c r="G75" t="s">
        <v>425</v>
      </c>
    </row>
    <row r="76" spans="1:7" x14ac:dyDescent="0.25">
      <c r="A76">
        <v>14198</v>
      </c>
      <c r="B76" t="s">
        <v>93</v>
      </c>
      <c r="C76" t="s">
        <v>85</v>
      </c>
      <c r="D76" t="s">
        <v>299</v>
      </c>
      <c r="E76" t="s">
        <v>300</v>
      </c>
      <c r="F76" t="s">
        <v>258</v>
      </c>
      <c r="G76" t="s">
        <v>425</v>
      </c>
    </row>
    <row r="77" spans="1:7" x14ac:dyDescent="0.25">
      <c r="A77">
        <v>14203</v>
      </c>
      <c r="B77" t="s">
        <v>94</v>
      </c>
      <c r="C77" t="s">
        <v>85</v>
      </c>
      <c r="D77" t="s">
        <v>301</v>
      </c>
      <c r="E77" t="s">
        <v>302</v>
      </c>
      <c r="F77" t="s">
        <v>258</v>
      </c>
      <c r="G77" t="s">
        <v>425</v>
      </c>
    </row>
    <row r="78" spans="1:7" x14ac:dyDescent="0.25">
      <c r="A78">
        <v>14225</v>
      </c>
      <c r="B78" t="s">
        <v>110</v>
      </c>
      <c r="C78" t="s">
        <v>85</v>
      </c>
      <c r="D78" t="s">
        <v>517</v>
      </c>
      <c r="E78" t="s">
        <v>518</v>
      </c>
      <c r="F78" t="s">
        <v>258</v>
      </c>
      <c r="G78" t="s">
        <v>422</v>
      </c>
    </row>
    <row r="79" spans="1:7" x14ac:dyDescent="0.25">
      <c r="A79">
        <v>14225</v>
      </c>
      <c r="B79" t="s">
        <v>110</v>
      </c>
      <c r="C79" t="s">
        <v>85</v>
      </c>
      <c r="D79" t="s">
        <v>305</v>
      </c>
      <c r="E79" t="s">
        <v>306</v>
      </c>
      <c r="F79" t="s">
        <v>258</v>
      </c>
      <c r="G79" t="s">
        <v>426</v>
      </c>
    </row>
    <row r="80" spans="1:7" x14ac:dyDescent="0.25">
      <c r="A80">
        <v>14225</v>
      </c>
      <c r="B80" t="s">
        <v>110</v>
      </c>
      <c r="C80" t="s">
        <v>85</v>
      </c>
      <c r="D80" t="s">
        <v>309</v>
      </c>
      <c r="E80" t="s">
        <v>310</v>
      </c>
      <c r="F80" t="s">
        <v>258</v>
      </c>
      <c r="G80" t="s">
        <v>426</v>
      </c>
    </row>
    <row r="81" spans="1:7" x14ac:dyDescent="0.25">
      <c r="A81">
        <v>14227</v>
      </c>
      <c r="B81" t="s">
        <v>95</v>
      </c>
      <c r="C81" t="s">
        <v>85</v>
      </c>
      <c r="D81" t="s">
        <v>311</v>
      </c>
      <c r="E81" t="s">
        <v>312</v>
      </c>
      <c r="F81" t="s">
        <v>258</v>
      </c>
      <c r="G81" t="s">
        <v>425</v>
      </c>
    </row>
    <row r="82" spans="1:7" x14ac:dyDescent="0.25">
      <c r="A82">
        <v>14227</v>
      </c>
      <c r="B82" t="s">
        <v>95</v>
      </c>
      <c r="C82" t="s">
        <v>85</v>
      </c>
      <c r="D82" t="s">
        <v>313</v>
      </c>
      <c r="E82" t="s">
        <v>314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315</v>
      </c>
      <c r="E83" t="s">
        <v>316</v>
      </c>
      <c r="F83" t="s">
        <v>258</v>
      </c>
      <c r="G83" t="s">
        <v>425</v>
      </c>
    </row>
    <row r="84" spans="1:7" x14ac:dyDescent="0.25">
      <c r="A84">
        <v>14229</v>
      </c>
      <c r="B84" t="s">
        <v>86</v>
      </c>
      <c r="C84" t="s">
        <v>85</v>
      </c>
      <c r="D84" t="s">
        <v>232</v>
      </c>
      <c r="E84" t="s">
        <v>233</v>
      </c>
      <c r="F84" t="s">
        <v>258</v>
      </c>
      <c r="G84" t="s">
        <v>426</v>
      </c>
    </row>
    <row r="85" spans="1:7" x14ac:dyDescent="0.25">
      <c r="A85">
        <v>14229</v>
      </c>
      <c r="B85" t="s">
        <v>86</v>
      </c>
      <c r="C85" t="s">
        <v>85</v>
      </c>
      <c r="D85" t="s">
        <v>234</v>
      </c>
      <c r="E85" t="s">
        <v>235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319</v>
      </c>
      <c r="E86" t="s">
        <v>320</v>
      </c>
      <c r="F86" t="s">
        <v>258</v>
      </c>
      <c r="G86" t="s">
        <v>422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321</v>
      </c>
      <c r="E88" t="s">
        <v>322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222</v>
      </c>
      <c r="E89" t="s">
        <v>223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325</v>
      </c>
      <c r="E90" t="s">
        <v>326</v>
      </c>
      <c r="F90" t="s">
        <v>258</v>
      </c>
      <c r="G90" t="s">
        <v>426</v>
      </c>
    </row>
    <row r="91" spans="1:7" x14ac:dyDescent="0.25">
      <c r="A91">
        <v>14229</v>
      </c>
      <c r="B91" t="s">
        <v>86</v>
      </c>
      <c r="C91" t="s">
        <v>85</v>
      </c>
      <c r="D91" t="s">
        <v>433</v>
      </c>
      <c r="E91" t="s">
        <v>434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329</v>
      </c>
      <c r="E92" t="s">
        <v>330</v>
      </c>
      <c r="F92" t="s">
        <v>258</v>
      </c>
      <c r="G92" t="s">
        <v>426</v>
      </c>
    </row>
    <row r="93" spans="1:7" x14ac:dyDescent="0.25">
      <c r="A93">
        <v>14306</v>
      </c>
      <c r="B93" t="s">
        <v>96</v>
      </c>
      <c r="C93" t="s">
        <v>85</v>
      </c>
      <c r="D93" t="s">
        <v>331</v>
      </c>
      <c r="E93" t="s">
        <v>332</v>
      </c>
      <c r="F93" t="s">
        <v>258</v>
      </c>
      <c r="G93" t="s">
        <v>425</v>
      </c>
    </row>
    <row r="94" spans="1:7" x14ac:dyDescent="0.25">
      <c r="A94">
        <v>14306</v>
      </c>
      <c r="B94" t="s">
        <v>96</v>
      </c>
      <c r="C94" t="s">
        <v>85</v>
      </c>
      <c r="D94" t="s">
        <v>220</v>
      </c>
      <c r="E94" t="s">
        <v>221</v>
      </c>
      <c r="F94" t="s">
        <v>258</v>
      </c>
      <c r="G94" t="s">
        <v>422</v>
      </c>
    </row>
    <row r="95" spans="1:7" x14ac:dyDescent="0.25">
      <c r="A95">
        <v>14306</v>
      </c>
      <c r="B95" t="s">
        <v>96</v>
      </c>
      <c r="C95" t="s">
        <v>85</v>
      </c>
      <c r="D95" t="s">
        <v>206</v>
      </c>
      <c r="E95" t="s">
        <v>207</v>
      </c>
      <c r="F95" t="s">
        <v>258</v>
      </c>
      <c r="G95" t="s">
        <v>425</v>
      </c>
    </row>
    <row r="96" spans="1:7" x14ac:dyDescent="0.25">
      <c r="A96">
        <v>14305</v>
      </c>
      <c r="B96" t="s">
        <v>88</v>
      </c>
      <c r="C96" t="s">
        <v>85</v>
      </c>
      <c r="D96" t="s">
        <v>487</v>
      </c>
      <c r="E96" t="s">
        <v>488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489</v>
      </c>
      <c r="E97" t="s">
        <v>490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333</v>
      </c>
      <c r="E98" t="s">
        <v>334</v>
      </c>
      <c r="F98" t="s">
        <v>258</v>
      </c>
      <c r="G98" t="s">
        <v>426</v>
      </c>
    </row>
    <row r="99" spans="1:7" x14ac:dyDescent="0.25">
      <c r="A99">
        <v>14305</v>
      </c>
      <c r="B99" t="s">
        <v>88</v>
      </c>
      <c r="C99" t="s">
        <v>85</v>
      </c>
      <c r="D99" t="s">
        <v>335</v>
      </c>
      <c r="E99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337</v>
      </c>
      <c r="E100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339</v>
      </c>
      <c r="E101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341</v>
      </c>
      <c r="E102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208</v>
      </c>
      <c r="E10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210</v>
      </c>
      <c r="E104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491</v>
      </c>
      <c r="E105" t="s">
        <v>492</v>
      </c>
      <c r="F105" t="s">
        <v>258</v>
      </c>
      <c r="G105" t="s">
        <v>425</v>
      </c>
    </row>
    <row r="106" spans="1:7" x14ac:dyDescent="0.25">
      <c r="A106">
        <v>14308</v>
      </c>
      <c r="B106" t="s">
        <v>97</v>
      </c>
      <c r="C106" t="s">
        <v>85</v>
      </c>
      <c r="D106" t="s">
        <v>238</v>
      </c>
      <c r="E106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t="s">
        <v>98</v>
      </c>
      <c r="C107" t="s">
        <v>85</v>
      </c>
      <c r="D107" t="s">
        <v>343</v>
      </c>
      <c r="E107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t="s">
        <v>98</v>
      </c>
      <c r="C108" t="s">
        <v>85</v>
      </c>
      <c r="D108" t="s">
        <v>345</v>
      </c>
      <c r="E108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t="s">
        <v>98</v>
      </c>
      <c r="C109" t="s">
        <v>85</v>
      </c>
      <c r="D109" t="s">
        <v>347</v>
      </c>
      <c r="E109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349</v>
      </c>
      <c r="E110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351</v>
      </c>
      <c r="E111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519</v>
      </c>
      <c r="E112" t="s">
        <v>520</v>
      </c>
      <c r="F112" t="s">
        <v>258</v>
      </c>
      <c r="G112" t="s">
        <v>425</v>
      </c>
    </row>
    <row r="113" spans="1:7" x14ac:dyDescent="0.25">
      <c r="A113">
        <v>14316</v>
      </c>
      <c r="B113" t="s">
        <v>98</v>
      </c>
      <c r="C113" t="s">
        <v>85</v>
      </c>
      <c r="D113" t="s">
        <v>521</v>
      </c>
      <c r="E113" t="s">
        <v>522</v>
      </c>
      <c r="F113" t="s">
        <v>258</v>
      </c>
      <c r="G113" t="s">
        <v>426</v>
      </c>
    </row>
    <row r="114" spans="1:7" x14ac:dyDescent="0.25">
      <c r="A114">
        <v>14316</v>
      </c>
      <c r="B114" t="s">
        <v>98</v>
      </c>
      <c r="C114" t="s">
        <v>85</v>
      </c>
      <c r="D114" t="s">
        <v>523</v>
      </c>
      <c r="E114" t="s">
        <v>524</v>
      </c>
      <c r="F114" t="s">
        <v>258</v>
      </c>
      <c r="G114" t="s">
        <v>426</v>
      </c>
    </row>
    <row r="115" spans="1:7" x14ac:dyDescent="0.25">
      <c r="A115">
        <v>14329</v>
      </c>
      <c r="B115" t="s">
        <v>111</v>
      </c>
      <c r="C115" t="s">
        <v>85</v>
      </c>
      <c r="D115" t="s">
        <v>353</v>
      </c>
      <c r="E115" t="s">
        <v>354</v>
      </c>
      <c r="F115" t="s">
        <v>258</v>
      </c>
      <c r="G115" t="s">
        <v>425</v>
      </c>
    </row>
    <row r="116" spans="1:7" x14ac:dyDescent="0.25">
      <c r="A116">
        <v>14338</v>
      </c>
      <c r="B116" t="s">
        <v>112</v>
      </c>
      <c r="C116" t="s">
        <v>85</v>
      </c>
      <c r="D116" t="s">
        <v>357</v>
      </c>
      <c r="E116" t="s">
        <v>358</v>
      </c>
      <c r="F116" t="s">
        <v>258</v>
      </c>
      <c r="G116" t="s">
        <v>426</v>
      </c>
    </row>
    <row r="117" spans="1:7" x14ac:dyDescent="0.25">
      <c r="A117">
        <v>14338</v>
      </c>
      <c r="B117" t="s">
        <v>112</v>
      </c>
      <c r="C117" t="s">
        <v>85</v>
      </c>
      <c r="D117" t="s">
        <v>359</v>
      </c>
      <c r="E117" t="s">
        <v>360</v>
      </c>
      <c r="F117" t="s">
        <v>258</v>
      </c>
      <c r="G117" t="s">
        <v>425</v>
      </c>
    </row>
    <row r="118" spans="1:7" x14ac:dyDescent="0.25">
      <c r="A118">
        <v>14338</v>
      </c>
      <c r="B118" t="s">
        <v>112</v>
      </c>
      <c r="C118" t="s">
        <v>85</v>
      </c>
      <c r="D118" t="s">
        <v>361</v>
      </c>
      <c r="E118" t="s">
        <v>362</v>
      </c>
      <c r="F118" t="s">
        <v>258</v>
      </c>
      <c r="G118" t="s">
        <v>425</v>
      </c>
    </row>
    <row r="119" spans="1:7" x14ac:dyDescent="0.25">
      <c r="A119">
        <v>14338</v>
      </c>
      <c r="B119" t="s">
        <v>112</v>
      </c>
      <c r="C119" t="s">
        <v>85</v>
      </c>
      <c r="D119" t="s">
        <v>212</v>
      </c>
      <c r="E119" t="s">
        <v>213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435</v>
      </c>
      <c r="E120" t="s">
        <v>436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481</v>
      </c>
      <c r="E121" t="s">
        <v>482</v>
      </c>
      <c r="F121" t="s">
        <v>258</v>
      </c>
      <c r="G121" t="s">
        <v>426</v>
      </c>
    </row>
    <row r="122" spans="1:7" x14ac:dyDescent="0.25">
      <c r="A122">
        <v>14409</v>
      </c>
      <c r="B122" t="s">
        <v>113</v>
      </c>
      <c r="C122" t="s">
        <v>85</v>
      </c>
      <c r="D122" t="s">
        <v>507</v>
      </c>
      <c r="E122" t="s">
        <v>508</v>
      </c>
      <c r="F122" t="s">
        <v>258</v>
      </c>
      <c r="G122" t="s">
        <v>422</v>
      </c>
    </row>
    <row r="123" spans="1:7" x14ac:dyDescent="0.25">
      <c r="A123">
        <v>14409</v>
      </c>
      <c r="B123" t="s">
        <v>113</v>
      </c>
      <c r="C123" t="s">
        <v>85</v>
      </c>
      <c r="D123" t="s">
        <v>365</v>
      </c>
      <c r="E123" t="s">
        <v>366</v>
      </c>
      <c r="F123" t="s">
        <v>258</v>
      </c>
      <c r="G123" t="s">
        <v>422</v>
      </c>
    </row>
    <row r="124" spans="1:7" x14ac:dyDescent="0.25">
      <c r="A124">
        <v>14550</v>
      </c>
      <c r="B124" t="s">
        <v>89</v>
      </c>
      <c r="C124" t="s">
        <v>85</v>
      </c>
      <c r="D124" t="s">
        <v>369</v>
      </c>
      <c r="E124" t="s">
        <v>370</v>
      </c>
      <c r="F124" t="s">
        <v>258</v>
      </c>
      <c r="G124" t="s">
        <v>422</v>
      </c>
    </row>
    <row r="125" spans="1:7" x14ac:dyDescent="0.25">
      <c r="A125">
        <v>14550</v>
      </c>
      <c r="B125" t="s">
        <v>89</v>
      </c>
      <c r="C125" t="s">
        <v>85</v>
      </c>
      <c r="D125" t="s">
        <v>371</v>
      </c>
      <c r="E125" t="s">
        <v>372</v>
      </c>
      <c r="F125" t="s">
        <v>258</v>
      </c>
      <c r="G125" t="s">
        <v>422</v>
      </c>
    </row>
    <row r="126" spans="1:7" x14ac:dyDescent="0.25">
      <c r="A126">
        <v>14598</v>
      </c>
      <c r="B126" t="s">
        <v>104</v>
      </c>
      <c r="C126" t="s">
        <v>85</v>
      </c>
      <c r="D126" t="s">
        <v>373</v>
      </c>
      <c r="E126" t="s">
        <v>374</v>
      </c>
      <c r="F126" t="s">
        <v>258</v>
      </c>
      <c r="G126" t="s">
        <v>422</v>
      </c>
    </row>
    <row r="127" spans="1:7" x14ac:dyDescent="0.25">
      <c r="A127">
        <v>14598</v>
      </c>
      <c r="B127" t="s">
        <v>104</v>
      </c>
      <c r="C127" t="s">
        <v>85</v>
      </c>
      <c r="D127" t="s">
        <v>375</v>
      </c>
      <c r="E127" t="s">
        <v>376</v>
      </c>
      <c r="F127" t="s">
        <v>258</v>
      </c>
      <c r="G127" t="s">
        <v>437</v>
      </c>
    </row>
    <row r="128" spans="1:7" x14ac:dyDescent="0.25">
      <c r="A128">
        <v>14598</v>
      </c>
      <c r="B128" t="s">
        <v>104</v>
      </c>
      <c r="C128" t="s">
        <v>85</v>
      </c>
      <c r="D128" t="s">
        <v>483</v>
      </c>
      <c r="E128" t="s">
        <v>484</v>
      </c>
      <c r="F128" t="s">
        <v>258</v>
      </c>
      <c r="G128" t="s">
        <v>426</v>
      </c>
    </row>
    <row r="129" spans="1:7" x14ac:dyDescent="0.25">
      <c r="A129">
        <v>14606</v>
      </c>
      <c r="B129" t="s">
        <v>115</v>
      </c>
      <c r="C129" t="s">
        <v>85</v>
      </c>
      <c r="D129" t="s">
        <v>528</v>
      </c>
      <c r="E129" t="s">
        <v>529</v>
      </c>
      <c r="F129" t="s">
        <v>258</v>
      </c>
      <c r="G129" t="s">
        <v>425</v>
      </c>
    </row>
    <row r="130" spans="1:7" x14ac:dyDescent="0.25">
      <c r="A130">
        <v>14665</v>
      </c>
      <c r="B130" t="s">
        <v>90</v>
      </c>
      <c r="C130" t="s">
        <v>85</v>
      </c>
      <c r="D130" t="s">
        <v>230</v>
      </c>
      <c r="E130" t="s">
        <v>231</v>
      </c>
      <c r="F130" t="s">
        <v>258</v>
      </c>
      <c r="G130" t="s">
        <v>422</v>
      </c>
    </row>
    <row r="131" spans="1:7" x14ac:dyDescent="0.25">
      <c r="A131">
        <v>14665</v>
      </c>
      <c r="B131" t="s">
        <v>90</v>
      </c>
      <c r="C131" t="s">
        <v>85</v>
      </c>
      <c r="D131" t="s">
        <v>379</v>
      </c>
      <c r="E131" t="s">
        <v>380</v>
      </c>
      <c r="F131" t="s">
        <v>258</v>
      </c>
      <c r="G131" t="s">
        <v>426</v>
      </c>
    </row>
    <row r="132" spans="1:7" x14ac:dyDescent="0.25">
      <c r="A132">
        <v>14724</v>
      </c>
      <c r="B132" t="s">
        <v>117</v>
      </c>
      <c r="C132" t="s">
        <v>85</v>
      </c>
      <c r="D132" t="s">
        <v>383</v>
      </c>
      <c r="E132" t="s">
        <v>384</v>
      </c>
      <c r="F132" t="s">
        <v>258</v>
      </c>
      <c r="G132" t="s">
        <v>425</v>
      </c>
    </row>
    <row r="133" spans="1:7" x14ac:dyDescent="0.25">
      <c r="A133">
        <v>14724</v>
      </c>
      <c r="B133" t="s">
        <v>117</v>
      </c>
      <c r="C133" t="s">
        <v>85</v>
      </c>
      <c r="D133" t="s">
        <v>236</v>
      </c>
      <c r="E133" t="s">
        <v>237</v>
      </c>
      <c r="F133" t="s">
        <v>258</v>
      </c>
      <c r="G133" t="s">
        <v>426</v>
      </c>
    </row>
    <row r="134" spans="1:7" x14ac:dyDescent="0.25">
      <c r="A134">
        <v>14724</v>
      </c>
      <c r="B134" t="s">
        <v>117</v>
      </c>
      <c r="C134" t="s">
        <v>85</v>
      </c>
      <c r="D134" t="s">
        <v>387</v>
      </c>
      <c r="E134" t="s">
        <v>388</v>
      </c>
      <c r="F134" t="s">
        <v>258</v>
      </c>
      <c r="G134" t="s">
        <v>422</v>
      </c>
    </row>
    <row r="135" spans="1:7" x14ac:dyDescent="0.25">
      <c r="A135">
        <v>14724</v>
      </c>
      <c r="B135" t="s">
        <v>117</v>
      </c>
      <c r="C135" t="s">
        <v>85</v>
      </c>
      <c r="D135" t="s">
        <v>538</v>
      </c>
      <c r="E135" t="s">
        <v>539</v>
      </c>
      <c r="F135" t="s">
        <v>258</v>
      </c>
      <c r="G135" t="s">
        <v>422</v>
      </c>
    </row>
    <row r="136" spans="1:7" x14ac:dyDescent="0.25">
      <c r="A136">
        <v>14724</v>
      </c>
      <c r="B136" t="s">
        <v>117</v>
      </c>
      <c r="C136" t="s">
        <v>85</v>
      </c>
      <c r="D136" t="s">
        <v>240</v>
      </c>
      <c r="E136" t="s">
        <v>241</v>
      </c>
      <c r="F136" t="s">
        <v>258</v>
      </c>
      <c r="G136" t="s">
        <v>426</v>
      </c>
    </row>
    <row r="137" spans="1:7" x14ac:dyDescent="0.25">
      <c r="A137">
        <v>14743</v>
      </c>
      <c r="B137" t="s">
        <v>136</v>
      </c>
      <c r="C137" t="s">
        <v>85</v>
      </c>
      <c r="D137" t="s">
        <v>540</v>
      </c>
      <c r="E137" t="s">
        <v>541</v>
      </c>
      <c r="F137" t="s">
        <v>258</v>
      </c>
      <c r="G137" t="s">
        <v>422</v>
      </c>
    </row>
    <row r="138" spans="1:7" x14ac:dyDescent="0.25">
      <c r="A138">
        <v>14743</v>
      </c>
      <c r="B138" t="s">
        <v>136</v>
      </c>
      <c r="C138" t="s">
        <v>85</v>
      </c>
      <c r="D138" t="s">
        <v>389</v>
      </c>
      <c r="E138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t="s">
        <v>136</v>
      </c>
      <c r="C139" t="s">
        <v>85</v>
      </c>
      <c r="D139" t="s">
        <v>224</v>
      </c>
      <c r="E139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226</v>
      </c>
      <c r="E140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228</v>
      </c>
      <c r="E141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525</v>
      </c>
      <c r="E142" t="s">
        <v>526</v>
      </c>
      <c r="F142" t="s">
        <v>258</v>
      </c>
      <c r="G14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21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19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17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21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18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15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15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20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Rumesnil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:C80">IFERROR(TRANSPOSE(_xlfn._xlws.FILTER($B$24:$B$61,$I$24:$I$61=$A80)),"")</f>
        <v>Beuvron-en-Auge</v>
      </c>
      <c r="C80" s="13" t="str">
        <v>Saint-Jouin</v>
      </c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/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Douville-en-Auge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Beaufour-Druval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Cresseveuille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Amfreville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:C86">IFERROR(TRANSPOSE(_xlfn._xlws.FILTER($B$24:$B$61,$I$24:$I$61=$A86)),"")</f>
        <v>Hotot-en-Auge</v>
      </c>
      <c r="C86" s="13" t="str">
        <v>Goustranville</v>
      </c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49.29988446178953</v>
      </c>
      <c r="G15" t="str">
        <v xml:space="preserve"> -0.05982123995887206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49.30743072574444</v>
      </c>
      <c r="G36" t="str">
        <v xml:space="preserve"> -0.04299704903332074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49.2935959</v>
      </c>
      <c r="G37" t="str">
        <v xml:space="preserve"> -0.0119519</v>
      </c>
      <c r="H37" t="str">
        <v>DALLE A FAIRE</v>
      </c>
      <c r="I37" t="str">
        <v>A AGRANDIR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49.29288803188187</v>
      </c>
      <c r="G38" t="str">
        <v xml:space="preserve"> -0.043396015846523056</v>
      </c>
      <c r="H38" t="str">
        <v>DALLE A FAIRE</v>
      </c>
      <c r="I38" t="str">
        <v>A CRÉER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49.2828881</v>
      </c>
      <c r="G39" t="str">
        <v xml:space="preserve"> -0.0139663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49.2859596</v>
      </c>
      <c r="G40" t="str">
        <v xml:space="preserve"> -0.0412631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49.2700973</v>
      </c>
      <c r="G41" t="str">
        <v xml:space="preserve"> -0.0352885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49.2875088</v>
      </c>
      <c r="G42" t="str">
        <v xml:space="preserve"> -0.0424567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49.296459417812216</v>
      </c>
      <c r="G43" t="str">
        <v xml:space="preserve"> -0.011719298602490874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49.28131233688149</v>
      </c>
      <c r="G44" t="str">
        <v xml:space="preserve"> -0.06498531070337203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PDR</v>
      </c>
      <c r="F45" t="str">
        <v>49.29147352020813</v>
      </c>
      <c r="G45" t="str">
        <v xml:space="preserve"> -0.02990099672911984</v>
      </c>
      <c r="H45" t="str">
        <v>DALLE A FAIRE</v>
      </c>
      <c r="I45" t="str">
        <v>A AGRANDIR</v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49.288664970921296</v>
      </c>
      <c r="G46" t="str">
        <v xml:space="preserve"> -0.007120671085641827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5</v>
      </c>
      <c r="C47">
        <v>14305</v>
      </c>
      <c r="D47" t="str">
        <v>Gonneville-sur-Mer</v>
      </c>
      <c r="E47" t="str">
        <v>Dalle borne à verre</v>
      </c>
      <c r="F47" t="str">
        <v>49.30481322598841</v>
      </c>
      <c r="G47" t="str">
        <v xml:space="preserve"> -0.05778662669533739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49.22709487115593</v>
      </c>
      <c r="G48" t="str">
        <v xml:space="preserve"> -0.04823379090339059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49.233704768397914</v>
      </c>
      <c r="G49" t="str">
        <v xml:space="preserve"> -0.0500232074070623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cabane à cartons</v>
      </c>
      <c r="F50" t="str">
        <v>49.23177507654163</v>
      </c>
      <c r="G50" t="str">
        <v xml:space="preserve"> -0.04427842285725417</v>
      </c>
      <c r="H50" t="str">
        <v>DALLE A FAIRE</v>
      </c>
      <c r="I50" t="str">
        <v/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49.23186249899733</v>
      </c>
      <c r="G51" t="str">
        <v xml:space="preserve"> -0.04595250406602712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49.22958086528844</v>
      </c>
      <c r="G52" t="str">
        <v xml:space="preserve"> -0.0444975878721113</v>
      </c>
      <c r="H52" t="str">
        <v>DALLE A FAIRE</v>
      </c>
      <c r="I52" t="str">
        <v>A CRÉER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49.2262862</v>
      </c>
      <c r="G54" t="str">
        <v xml:space="preserve"> -0.0363922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49.2235272</v>
      </c>
      <c r="G55" t="str">
        <v xml:space="preserve"> -0.0429368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49.22913127846012</v>
      </c>
      <c r="G56" t="str">
        <v xml:space="preserve"> -0.04684122951583171</v>
      </c>
      <c r="H56" t="str">
        <v>DALLE A FAIRE</v>
      </c>
      <c r="I56" t="str">
        <v>A AMÉNAGER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49.2281552</v>
      </c>
      <c r="G57" t="str">
        <v xml:space="preserve"> -0.0409721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49.230730058721775</v>
      </c>
      <c r="G58" t="str">
        <v xml:space="preserve"> -0.04459631849467809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PDR</v>
      </c>
      <c r="F59" t="str">
        <v>49.22720999872636</v>
      </c>
      <c r="G59" t="str">
        <v xml:space="preserve"> -0.04248176650664557</v>
      </c>
      <c r="H59" t="str">
        <v>DALLE A FAIRE</v>
      </c>
      <c r="I59" t="str">
        <v>A CRÉER</v>
      </c>
    </row>
    <row r="60" spans="1:9" x14ac:dyDescent="0.25">
      <c r="A60" s="109">
        <v>59</v>
      </c>
      <c r="B60" s="109">
        <v>6</v>
      </c>
      <c r="C60">
        <v>14229</v>
      </c>
      <c r="D60" t="str">
        <v>Dozulé</v>
      </c>
      <c r="E60" t="str">
        <v>Dalle borne à verre</v>
      </c>
      <c r="F60" t="str">
        <v>49.23361966795088</v>
      </c>
      <c r="G60" t="str">
        <v xml:space="preserve"> -0.049846803803620096</v>
      </c>
      <c r="H60" t="str">
        <v>DALLE A FAIRE</v>
      </c>
      <c r="I60" t="str">
        <v/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49.290392184518254</v>
      </c>
      <c r="G61" t="str">
        <v xml:space="preserve"> -0.10346719231758088</v>
      </c>
      <c r="H61" t="str">
        <v>DALLE A FAIRE</v>
      </c>
      <c r="I61" t="str">
        <v>A AMÉNAGER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49.2824044</v>
      </c>
      <c r="G62" t="str">
        <v xml:space="preserve"> -0.0959399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PDR</v>
      </c>
      <c r="F63" t="str">
        <v>49.2887483</v>
      </c>
      <c r="G63" t="str">
        <v xml:space="preserve"> -0.0964549</v>
      </c>
      <c r="H63" t="str">
        <v>DALLE A FAIRE</v>
      </c>
      <c r="I63" t="str">
        <v>A CRÉER</v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49.27983237332137</v>
      </c>
      <c r="G64" t="str">
        <v xml:space="preserve"> -0.09823286146899714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49.279811853733904</v>
      </c>
      <c r="G65" t="str">
        <v xml:space="preserve"> -0.0982393971911464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49.29308024569457</v>
      </c>
      <c r="G66" t="str">
        <v xml:space="preserve"> -0.0965996815861622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borne à verre</v>
      </c>
      <c r="F67" t="str">
        <v>49.28126567809827</v>
      </c>
      <c r="G67" t="str">
        <v xml:space="preserve"> -0.09237319765539634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cabane à cartons</v>
      </c>
      <c r="F68" t="str">
        <v>49.26070201771357</v>
      </c>
      <c r="G68" t="str">
        <v xml:space="preserve"> -0.19127903845914065</v>
      </c>
      <c r="H68" t="str">
        <v>DALLE A FAIRE</v>
      </c>
      <c r="I68" t="str">
        <v/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49.2509682</v>
      </c>
      <c r="G69" t="str">
        <v xml:space="preserve"> -0.1937762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49.25131743180436</v>
      </c>
      <c r="G70" t="str">
        <v xml:space="preserve"> -0.18868645898233616</v>
      </c>
      <c r="H70" t="str">
        <v>DALLE A FAIRE</v>
      </c>
      <c r="I70" t="str">
        <v>A AMÉNAGER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PDR</v>
      </c>
      <c r="F71" t="str">
        <v>49.259837345103605</v>
      </c>
      <c r="G71" t="str">
        <v xml:space="preserve"> -0.19400437323016223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borne à verre</v>
      </c>
      <c r="F72" t="str">
        <v>49.25043545923873</v>
      </c>
      <c r="G72" t="str">
        <v xml:space="preserve"> -0.1897554517365692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cabane à cartons</v>
      </c>
      <c r="F73" t="str">
        <v>49.264999149825904</v>
      </c>
      <c r="G73" t="str">
        <v xml:space="preserve"> -0.22614302048322546</v>
      </c>
      <c r="H73" t="str">
        <v>DALLE A FAIRE</v>
      </c>
      <c r="I73" t="str">
        <v/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49.26458402507549</v>
      </c>
      <c r="G74" t="str">
        <v xml:space="preserve"> -0.22684179451805833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PDR</v>
      </c>
      <c r="F75" t="str">
        <v>49.2629037</v>
      </c>
      <c r="G75" t="str">
        <v xml:space="preserve"> -0.2301751</v>
      </c>
      <c r="H75" t="str">
        <v>DALLE A FAIRE</v>
      </c>
      <c r="I75" t="str">
        <v>A CRÉER</v>
      </c>
    </row>
    <row r="76" spans="1:9" x14ac:dyDescent="0.25">
      <c r="A76" s="109">
        <v>75</v>
      </c>
      <c r="B76" s="109">
        <v>9</v>
      </c>
      <c r="C76">
        <v>14665</v>
      </c>
      <c r="D76" t="str">
        <v>Sallenelles</v>
      </c>
      <c r="E76" t="str">
        <v>Dalle borne à verre</v>
      </c>
      <c r="F76" t="str">
        <v>49.265003975081655</v>
      </c>
      <c r="G76" t="str">
        <v xml:space="preserve"> -0.22611067614236424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49.2840753</v>
      </c>
      <c r="G77" t="str">
        <v xml:space="preserve"> -0.1552194</v>
      </c>
      <c r="H77" t="str">
        <v>DALLE A FAIRE</v>
      </c>
      <c r="I77" t="str">
        <v>A AGRANDIR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49.25556363891102</v>
      </c>
      <c r="G78" t="str">
        <v xml:space="preserve"> -0.13342002261110422</v>
      </c>
      <c r="H78" t="str">
        <v>DALLE A FAIRE</v>
      </c>
      <c r="I78" t="str">
        <v>A CRÉER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49.2547524</v>
      </c>
      <c r="G79" t="str">
        <v xml:space="preserve"> -0.1512149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PDR</v>
      </c>
      <c r="F80" t="str">
        <v>49.2844383</v>
      </c>
      <c r="G80" t="str">
        <v xml:space="preserve"> -0.1674382</v>
      </c>
      <c r="H80" t="str">
        <v>DALLE A FAIRE</v>
      </c>
      <c r="I80" t="str">
        <v>A AMÉNAGER</v>
      </c>
    </row>
    <row r="81" spans="1:9" x14ac:dyDescent="0.25">
      <c r="A81" s="109">
        <v>80</v>
      </c>
      <c r="B81" s="109">
        <v>9</v>
      </c>
      <c r="C81">
        <v>14724</v>
      </c>
      <c r="D81" t="str">
        <v>Varaville</v>
      </c>
      <c r="E81" t="str">
        <v>Dalle PDR</v>
      </c>
      <c r="F81" t="str">
        <v>49.2833384235042</v>
      </c>
      <c r="G81" t="str">
        <v xml:space="preserve"> -0.1689880342290415</v>
      </c>
      <c r="H81" t="str">
        <v>DALLE A FAIRE</v>
      </c>
      <c r="I81" t="str">
        <v>A CRÉER</v>
      </c>
    </row>
    <row r="82" spans="1:9" x14ac:dyDescent="0.25">
      <c r="A82" s="109">
        <v>81</v>
      </c>
      <c r="B82" s="109">
        <v>9</v>
      </c>
      <c r="C82">
        <v>14724</v>
      </c>
      <c r="D82" t="str">
        <v>Varaville</v>
      </c>
      <c r="E82" t="str">
        <v>Dalle borne à verre</v>
      </c>
      <c r="F82" t="str">
        <v>49.28466583871749</v>
      </c>
      <c r="G82" t="str">
        <v xml:space="preserve"> -0.1580206465866003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PDR</v>
      </c>
      <c r="F83" t="str">
        <v>49.2712375</v>
      </c>
      <c r="G83" t="str">
        <v xml:space="preserve"> -0.1876433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14409</v>
      </c>
      <c r="D84" t="str">
        <v>Merville-Franceville-Plage</v>
      </c>
      <c r="E84" t="str">
        <v>Dalle PDR</v>
      </c>
      <c r="F84" t="str">
        <v>49.2589267</v>
      </c>
      <c r="G84" t="str">
        <v xml:space="preserve"> -0.2226985</v>
      </c>
      <c r="H84" t="str">
        <v>DALLE A FAIRE</v>
      </c>
      <c r="I84" t="str">
        <v>A AMÉNAGER</v>
      </c>
    </row>
    <row r="85" spans="1:9" x14ac:dyDescent="0.25">
      <c r="A85" s="109">
        <v>84</v>
      </c>
      <c r="B85" s="109">
        <v>11</v>
      </c>
      <c r="C85">
        <v>14409</v>
      </c>
      <c r="D85" t="str">
        <v>Merville-Franceville-Plage</v>
      </c>
      <c r="E85" t="str">
        <v>Dalle borne à verre</v>
      </c>
      <c r="F85" t="str">
        <v>49.282047292669496</v>
      </c>
      <c r="G85" t="str">
        <v xml:space="preserve"> -0.20541323874820994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11</v>
      </c>
      <c r="C86">
        <v>14409</v>
      </c>
      <c r="D86" t="str">
        <v>Merville-Franceville-Plage</v>
      </c>
      <c r="E86" t="str">
        <v>Dalle borne à verre</v>
      </c>
      <c r="F86" t="str">
        <v>49.28206352793798</v>
      </c>
      <c r="G86" t="str">
        <v xml:space="preserve"> -0.2054013182976707</v>
      </c>
      <c r="H86" t="str">
        <v>DALLE A FAIRE</v>
      </c>
      <c r="I86" t="str">
        <v/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49.2472318</v>
      </c>
      <c r="G87" t="str">
        <v xml:space="preserve"> -0.0129685</v>
      </c>
      <c r="H87" t="str">
        <v>DALLE A FAIRE</v>
      </c>
      <c r="I87" t="str">
        <v>A AGRANDIR</v>
      </c>
    </row>
    <row r="88" spans="1:9" x14ac:dyDescent="0.25">
      <c r="A88" s="109">
        <v>87</v>
      </c>
      <c r="B88" s="109">
        <v>12</v>
      </c>
      <c r="C88">
        <v>14012</v>
      </c>
      <c r="D88" t="str">
        <v>Angerville</v>
      </c>
      <c r="E88" t="str">
        <v>Dalle PDR</v>
      </c>
      <c r="F88" t="str">
        <v>49.2400787</v>
      </c>
      <c r="G88" t="str">
        <v xml:space="preserve"> -0.0191979</v>
      </c>
      <c r="H88" t="str">
        <v>DALLE A FAIRE</v>
      </c>
      <c r="I88" t="str">
        <v>A AMÉNAGER</v>
      </c>
    </row>
    <row r="89" spans="1:9" x14ac:dyDescent="0.25">
      <c r="A89" s="109">
        <v>88</v>
      </c>
      <c r="B89" s="109">
        <v>12</v>
      </c>
      <c r="C89">
        <v>14012</v>
      </c>
      <c r="D89" t="str">
        <v>Angerville</v>
      </c>
      <c r="E89" t="str">
        <v>Dalle PDR</v>
      </c>
      <c r="F89" t="str">
        <v>49.244207</v>
      </c>
      <c r="G89" t="str">
        <v xml:space="preserve"> -0.0395653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12</v>
      </c>
      <c r="C90">
        <v>14012</v>
      </c>
      <c r="D90" t="str">
        <v>Angerville</v>
      </c>
      <c r="E90" t="str">
        <v>Dalle PDR</v>
      </c>
      <c r="F90" t="str">
        <v>49.2481283</v>
      </c>
      <c r="G90" t="str">
        <v xml:space="preserve"> -0.0366497</v>
      </c>
      <c r="H90" t="str">
        <v>DALLE A FAIRE</v>
      </c>
      <c r="I90" t="str">
        <v>A CRÉER</v>
      </c>
    </row>
    <row r="91" spans="1:9" x14ac:dyDescent="0.25">
      <c r="A91" s="109">
        <v>90</v>
      </c>
      <c r="B91" s="109">
        <v>12</v>
      </c>
      <c r="C91">
        <v>14203</v>
      </c>
      <c r="D91" t="str">
        <v>Cricqueville-en-Auge</v>
      </c>
      <c r="E91" t="str">
        <v>Dalle cabane à cartons</v>
      </c>
      <c r="F91" t="str">
        <v>49.25049652130896</v>
      </c>
      <c r="G91" t="str">
        <v xml:space="preserve"> -0.06291898739405613</v>
      </c>
      <c r="H91" t="str">
        <v>DALLE A FAIRE</v>
      </c>
      <c r="I91" t="str">
        <v/>
      </c>
    </row>
    <row r="92" spans="1:9" x14ac:dyDescent="0.25">
      <c r="A92" s="109">
        <v>91</v>
      </c>
      <c r="B92" s="109">
        <v>12</v>
      </c>
      <c r="C92">
        <v>14203</v>
      </c>
      <c r="D92" t="str">
        <v>Cricqueville-en-Auge</v>
      </c>
      <c r="E92" t="str">
        <v>Dalle PDR</v>
      </c>
      <c r="F92" t="str">
        <v>49.2504981</v>
      </c>
      <c r="G92" t="str">
        <v xml:space="preserve"> -0.0629809</v>
      </c>
      <c r="H92" t="str">
        <v>DALLE A FAIRE</v>
      </c>
      <c r="I92" t="str">
        <v>A AGRANDIR</v>
      </c>
    </row>
    <row r="93" spans="1:9" x14ac:dyDescent="0.25">
      <c r="A93" s="109">
        <v>92</v>
      </c>
      <c r="B93" s="109">
        <v>14</v>
      </c>
      <c r="C93">
        <v>14550</v>
      </c>
      <c r="D93" t="str">
        <v>Rumesnil</v>
      </c>
      <c r="E93" t="str">
        <v>Dalle PDR</v>
      </c>
      <c r="F93" t="str">
        <v>49.1861083</v>
      </c>
      <c r="G93" t="str">
        <v xml:space="preserve"> 0.0355218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14550</v>
      </c>
      <c r="D94" t="str">
        <v>Rumesnil</v>
      </c>
      <c r="E94" t="str">
        <v>Dalle PDR</v>
      </c>
      <c r="F94" t="str">
        <v>49.1824292</v>
      </c>
      <c r="G94" t="str">
        <v xml:space="preserve"> 0.0172922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borne à verre</v>
      </c>
      <c r="F95" t="str">
        <v>49.18610891146093</v>
      </c>
      <c r="G95" t="str">
        <v xml:space="preserve"> 0.03553315452669501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15</v>
      </c>
      <c r="C96">
        <v>14070</v>
      </c>
      <c r="D96" t="str">
        <v>Beuvron-en-Auge</v>
      </c>
      <c r="E96" t="str">
        <v>Dalle cabane à cartons</v>
      </c>
      <c r="F96" t="str">
        <v>49.18846261113245</v>
      </c>
      <c r="G96" t="str">
        <v xml:space="preserve"> -0.04899986696358147</v>
      </c>
      <c r="H96" t="str">
        <v>DALLE A FAIRE</v>
      </c>
      <c r="I96" t="str">
        <v/>
      </c>
    </row>
    <row r="97" spans="1:9" x14ac:dyDescent="0.25">
      <c r="A97" s="109">
        <v>96</v>
      </c>
      <c r="B97" s="109">
        <v>15</v>
      </c>
      <c r="C97">
        <v>14070</v>
      </c>
      <c r="D97" t="str">
        <v>Beuvron-en-Auge</v>
      </c>
      <c r="E97" t="str">
        <v>Dalle cabane à cartons</v>
      </c>
      <c r="F97" t="str">
        <v>49.18842466474889</v>
      </c>
      <c r="G97" t="str">
        <v xml:space="preserve"> -0.04898877950306013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15</v>
      </c>
      <c r="C98">
        <v>14070</v>
      </c>
      <c r="D98" t="str">
        <v>Beuvron-en-Auge</v>
      </c>
      <c r="E98" t="str">
        <v>Dalle PDR</v>
      </c>
      <c r="F98" t="str">
        <v>49.2031245</v>
      </c>
      <c r="G98" t="str">
        <v xml:space="preserve"> -0.0194098</v>
      </c>
      <c r="H98" t="str">
        <v>DALLE A FAIRE</v>
      </c>
      <c r="I98" t="str">
        <v>A CRÉER</v>
      </c>
    </row>
    <row r="99" spans="1:9" x14ac:dyDescent="0.25">
      <c r="A99" s="109">
        <v>98</v>
      </c>
      <c r="B99" s="109">
        <v>15</v>
      </c>
      <c r="C99">
        <v>14070</v>
      </c>
      <c r="D99" t="str">
        <v>Beuvron-en-Auge</v>
      </c>
      <c r="E99" t="str">
        <v>Dalle PDR</v>
      </c>
      <c r="F99" t="str">
        <v>49.206794</v>
      </c>
      <c r="G99" t="str">
        <v xml:space="preserve"> -0.0322616</v>
      </c>
      <c r="H99" t="str">
        <v>DALLE A FAIRE</v>
      </c>
      <c r="I99" t="str">
        <v>A AMÉNAGER</v>
      </c>
    </row>
    <row r="100" spans="1:9" x14ac:dyDescent="0.25">
      <c r="A100" s="109">
        <v>99</v>
      </c>
      <c r="B100" s="109">
        <v>15</v>
      </c>
      <c r="C100">
        <v>14598</v>
      </c>
      <c r="D100" t="str">
        <v>Saint-Jouin</v>
      </c>
      <c r="E100" t="str">
        <v>Dalle cabane à cartons</v>
      </c>
      <c r="F100" t="str">
        <v>49.21965545601737</v>
      </c>
      <c r="G100" t="str">
        <v xml:space="preserve"> -0.016808597100771826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15</v>
      </c>
      <c r="C101">
        <v>14598</v>
      </c>
      <c r="D101" t="str">
        <v>Saint-Jouin</v>
      </c>
      <c r="E101" t="str">
        <v>Dalle PDR</v>
      </c>
      <c r="F101" t="str">
        <v>49.2136874</v>
      </c>
      <c r="G101" t="str">
        <v xml:space="preserve"> -0.0287721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15</v>
      </c>
      <c r="C102">
        <v>14598</v>
      </c>
      <c r="D102" t="str">
        <v>Saint-Jouin</v>
      </c>
      <c r="E102" t="str">
        <v>Dalle PDR</v>
      </c>
      <c r="F102" t="str">
        <v>49.22458</v>
      </c>
      <c r="G102" t="str">
        <v xml:space="preserve"> 0.004144</v>
      </c>
      <c r="H102" t="str">
        <v>DALLE A FAIRE</v>
      </c>
      <c r="I102" t="str">
        <v>A DÉPLACER</v>
      </c>
    </row>
    <row r="103" spans="1:9" x14ac:dyDescent="0.25">
      <c r="A103" s="109">
        <v>102</v>
      </c>
      <c r="B103" s="109">
        <v>15</v>
      </c>
      <c r="C103">
        <v>14598</v>
      </c>
      <c r="D103" t="str">
        <v>Saint-Jouin</v>
      </c>
      <c r="E103" t="str">
        <v>Dalle PDR</v>
      </c>
      <c r="F103" t="str">
        <v>49.222611007790995</v>
      </c>
      <c r="G103" t="str">
        <v xml:space="preserve"> -0.02795375667878372</v>
      </c>
      <c r="H103" t="str">
        <v>DALLE A FAIRE</v>
      </c>
      <c r="I103" t="str">
        <v>A CRÉER</v>
      </c>
    </row>
    <row r="104" spans="1:9" x14ac:dyDescent="0.25">
      <c r="A104" s="109">
        <v>103</v>
      </c>
      <c r="B104" s="109">
        <v>17</v>
      </c>
      <c r="C104">
        <v>14227</v>
      </c>
      <c r="D104" t="str">
        <v>Douville-en-Auge</v>
      </c>
      <c r="E104" t="str">
        <v>Dalle PDR</v>
      </c>
      <c r="F104" t="str">
        <v>49.2639732</v>
      </c>
      <c r="G104" t="str">
        <v xml:space="preserve"> -0.0102903</v>
      </c>
      <c r="H104" t="str">
        <v>DALLE A FAIRE</v>
      </c>
      <c r="I104" t="str">
        <v>A AGRANDIR</v>
      </c>
    </row>
    <row r="105" spans="1:9" x14ac:dyDescent="0.25">
      <c r="A105" s="109">
        <v>104</v>
      </c>
      <c r="B105" s="109">
        <v>17</v>
      </c>
      <c r="C105">
        <v>14227</v>
      </c>
      <c r="D105" t="str">
        <v>Douville-en-Auge</v>
      </c>
      <c r="E105" t="str">
        <v>Dalle PDR</v>
      </c>
      <c r="F105" t="str">
        <v>49.2591368</v>
      </c>
      <c r="G105" t="str">
        <v xml:space="preserve"> -0.0063676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17</v>
      </c>
      <c r="C106">
        <v>14227</v>
      </c>
      <c r="D106" t="str">
        <v>Douville-en-Auge</v>
      </c>
      <c r="E106" t="str">
        <v>Dalle PDR</v>
      </c>
      <c r="F106" t="str">
        <v>49.2744908</v>
      </c>
      <c r="G106" t="str">
        <v xml:space="preserve"> -0.0135411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17</v>
      </c>
      <c r="C107">
        <v>14227</v>
      </c>
      <c r="D107" t="str">
        <v>Douville-en-Auge</v>
      </c>
      <c r="E107" t="str">
        <v>Dalle borne à verre</v>
      </c>
      <c r="F107" t="str">
        <v>49.26291</v>
      </c>
      <c r="G107" t="str">
        <v xml:space="preserve"> -0.02559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18</v>
      </c>
      <c r="C108">
        <v>14231</v>
      </c>
      <c r="D108" t="str">
        <v>Beaufour-Druval</v>
      </c>
      <c r="E108" t="str">
        <v>Dalle cabane à cartons</v>
      </c>
      <c r="F108" t="str">
        <v>49.21497388373563</v>
      </c>
      <c r="G108" t="str">
        <v xml:space="preserve"> 0.021471329987151584</v>
      </c>
      <c r="H108" t="str">
        <v>DALLE A FAIRE</v>
      </c>
      <c r="I108" t="str">
        <v/>
      </c>
    </row>
    <row r="109" spans="1:9" x14ac:dyDescent="0.25">
      <c r="A109" s="109">
        <v>108</v>
      </c>
      <c r="B109" s="109">
        <v>18</v>
      </c>
      <c r="C109">
        <v>14231</v>
      </c>
      <c r="D109" t="str">
        <v>Beaufour-Druval</v>
      </c>
      <c r="E109" t="str">
        <v>Dalle PDR</v>
      </c>
      <c r="F109" t="str">
        <v>49.2198913</v>
      </c>
      <c r="G109" t="str">
        <v xml:space="preserve"> 0.0180459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19</v>
      </c>
      <c r="C110">
        <v>14198</v>
      </c>
      <c r="D110" t="str">
        <v>Cresseveuille</v>
      </c>
      <c r="E110" t="str">
        <v>Dalle PDR</v>
      </c>
      <c r="F110" t="str">
        <v>49.2396996</v>
      </c>
      <c r="G110" t="str">
        <v xml:space="preserve"> 0.0281256</v>
      </c>
      <c r="H110" t="str">
        <v>DALLE A FAIRE</v>
      </c>
      <c r="I110" t="str">
        <v>A AGRANDIR</v>
      </c>
    </row>
    <row r="111" spans="1:9" x14ac:dyDescent="0.25">
      <c r="A111" s="109">
        <v>110</v>
      </c>
      <c r="B111" s="109">
        <v>19</v>
      </c>
      <c r="C111">
        <v>14198</v>
      </c>
      <c r="D111" t="str">
        <v>Cresseveuille</v>
      </c>
      <c r="E111" t="str">
        <v>Dalle borne à verre</v>
      </c>
      <c r="F111" t="str">
        <v>49.24698</v>
      </c>
      <c r="G111" t="str">
        <v xml:space="preserve"> -0.00326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20</v>
      </c>
      <c r="C112">
        <v>14009</v>
      </c>
      <c r="D112" t="str">
        <v>Amfreville</v>
      </c>
      <c r="E112" t="str">
        <v>Dalle cabane à cartons</v>
      </c>
      <c r="F112" t="str">
        <v>49.25562438639887</v>
      </c>
      <c r="G112" t="str">
        <v xml:space="preserve"> -0.22937048501071255</v>
      </c>
      <c r="H112" t="str">
        <v>DALLE A FAIRE</v>
      </c>
      <c r="I112" t="str">
        <v/>
      </c>
    </row>
    <row r="113" spans="1:9" x14ac:dyDescent="0.25">
      <c r="A113" s="109">
        <v>112</v>
      </c>
      <c r="B113" s="109">
        <v>20</v>
      </c>
      <c r="C113">
        <v>14009</v>
      </c>
      <c r="D113" t="str">
        <v>Amfreville</v>
      </c>
      <c r="E113" t="str">
        <v>Dalle PDR</v>
      </c>
      <c r="F113" t="str">
        <v>49.249052346825934</v>
      </c>
      <c r="G113" t="str">
        <v xml:space="preserve"> -0.23480492949435036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20</v>
      </c>
      <c r="C114">
        <v>14009</v>
      </c>
      <c r="D114" t="str">
        <v>Amfreville</v>
      </c>
      <c r="E114" t="str">
        <v>Dalle borne à verre</v>
      </c>
      <c r="F114" t="str">
        <v>49.25566199427314</v>
      </c>
      <c r="G114" t="str">
        <v xml:space="preserve"> -0.22938853639403137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20</v>
      </c>
      <c r="C115">
        <v>14009</v>
      </c>
      <c r="D115" t="str">
        <v>Amfreville</v>
      </c>
      <c r="E115" t="str">
        <v>Dalle borne à verre</v>
      </c>
      <c r="F115" t="str">
        <v>49.24970995591638</v>
      </c>
      <c r="G115" t="str">
        <v xml:space="preserve"> -0.23556659122746876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21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23</v>
      </c>
      <c r="C117">
        <v>14110</v>
      </c>
      <c r="D117" t="str">
        <v>Brucourt</v>
      </c>
      <c r="E117" t="str">
        <v>Dalle PDR</v>
      </c>
      <c r="F117" t="str">
        <v>49.2458941</v>
      </c>
      <c r="G117" t="str">
        <v xml:space="preserve"> -0.1005694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14110</v>
      </c>
      <c r="D118" t="str">
        <v>Brucourt</v>
      </c>
      <c r="E118" t="str">
        <v>Dalle PDR</v>
      </c>
      <c r="F118" t="str">
        <v>49.2446299</v>
      </c>
      <c r="G118" t="str">
        <v xml:space="preserve"> -0.1047993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49.2552216</v>
      </c>
      <c r="G119" t="str">
        <v xml:space="preserve"> -0.0935085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borne à verre</v>
      </c>
      <c r="F120" t="str">
        <v>49.24471428769877</v>
      </c>
      <c r="G120" t="str">
        <v xml:space="preserve"> -0.10471671057294427</v>
      </c>
      <c r="H120" t="str">
        <v>DALLE A FAIRE</v>
      </c>
      <c r="I120" t="str">
        <v/>
      </c>
    </row>
    <row r="121" spans="1:9" x14ac:dyDescent="0.25">
      <c r="A121" s="109">
        <v>120</v>
      </c>
      <c r="B121" s="109">
        <v>24</v>
      </c>
      <c r="C121">
        <v>14045</v>
      </c>
      <c r="D121" t="str">
        <v>Basseneville</v>
      </c>
      <c r="E121" t="str">
        <v>Dalle PDR</v>
      </c>
      <c r="F121" t="str">
        <v>49.2076913</v>
      </c>
      <c r="G121" t="str">
        <v xml:space="preserve"> -0.1189426</v>
      </c>
      <c r="H121" t="str">
        <v>DALLE A FAIRE</v>
      </c>
      <c r="I121" t="str">
        <v>A AGRANDIR</v>
      </c>
    </row>
    <row r="122" spans="1:9" x14ac:dyDescent="0.25">
      <c r="A122" s="109">
        <v>121</v>
      </c>
      <c r="B122" s="109">
        <v>24</v>
      </c>
      <c r="C122">
        <v>14045</v>
      </c>
      <c r="D122" t="str">
        <v>Basseneville</v>
      </c>
      <c r="E122" t="str">
        <v>Dalle PDR</v>
      </c>
      <c r="F122" t="str">
        <v>49.21135</v>
      </c>
      <c r="G122" t="str">
        <v xml:space="preserve"> -0.1158996</v>
      </c>
      <c r="H122" t="str">
        <v>DALLE A FAIRE</v>
      </c>
      <c r="I122" t="str">
        <v>A AGRANDIR</v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49.199983</v>
      </c>
      <c r="G123" t="str">
        <v xml:space="preserve"> -0.1501742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49.20935103640219</v>
      </c>
      <c r="G124" t="str">
        <v xml:space="preserve"> -0.15287255054911186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14524</v>
      </c>
      <c r="D125" t="str">
        <v>Putot-en-Auge</v>
      </c>
      <c r="E125" t="str">
        <v>Dalle cabane à cartons</v>
      </c>
      <c r="F125" t="str">
        <v>49.221084181777954</v>
      </c>
      <c r="G125" t="str">
        <v xml:space="preserve"> -0.07562742766276201</v>
      </c>
      <c r="H125" t="str">
        <v>DALLE A FAIRE</v>
      </c>
      <c r="I125" t="str">
        <v/>
      </c>
    </row>
    <row r="126" spans="1:9" x14ac:dyDescent="0.25">
      <c r="A126" s="109">
        <v>125</v>
      </c>
      <c r="B126" s="109">
        <v>26</v>
      </c>
      <c r="C126">
        <v>14046</v>
      </c>
      <c r="D126" t="str">
        <v>Bavent</v>
      </c>
      <c r="E126" t="str">
        <v>Dalle PDR</v>
      </c>
      <c r="F126" t="str">
        <v>49.2348809</v>
      </c>
      <c r="G126" t="str">
        <v xml:space="preserve"> -0.1450995</v>
      </c>
      <c r="H126" t="str">
        <v>DALLE A FAIRE</v>
      </c>
      <c r="I126" t="str">
        <v>A AMÉNAGER</v>
      </c>
    </row>
    <row r="127" spans="1:9" x14ac:dyDescent="0.25">
      <c r="A127" s="109">
        <v>126</v>
      </c>
      <c r="B127" s="109">
        <v>26</v>
      </c>
      <c r="C127">
        <v>14046</v>
      </c>
      <c r="D127" t="str">
        <v>Bavent</v>
      </c>
      <c r="E127" t="str">
        <v>Dalle PDR</v>
      </c>
      <c r="F127" t="str">
        <v>49.2347951</v>
      </c>
      <c r="G127" t="str">
        <v xml:space="preserve"> -0.1484656</v>
      </c>
      <c r="H127" t="str">
        <v>DALLE A FAIRE</v>
      </c>
      <c r="I127" t="str">
        <v>A CRÉER</v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49.2321592</v>
      </c>
      <c r="G128" t="str">
        <v xml:space="preserve"> -0.1931164</v>
      </c>
      <c r="H128" t="str">
        <v>DALLE A FAIRE</v>
      </c>
      <c r="I128" t="str">
        <v>A CRÉER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49.25551005587573</v>
      </c>
      <c r="G129" t="str">
        <v xml:space="preserve"> -0.1333894879310426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49.2305566</v>
      </c>
      <c r="G130" t="str">
        <v xml:space="preserve"> -0.1973569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borne à verre</v>
      </c>
      <c r="F131" t="str">
        <v>49.23489736377922</v>
      </c>
      <c r="G131" t="str">
        <v xml:space="preserve"> -0.14660517272742066</v>
      </c>
      <c r="H131" t="str">
        <v>DALLE A FAIRE</v>
      </c>
      <c r="I131" t="str">
        <v/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borne à verre</v>
      </c>
      <c r="F132" t="str">
        <v>49.23835257305759</v>
      </c>
      <c r="G132" t="str">
        <v xml:space="preserve"> -0.18889293695664308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cabane à cartons</v>
      </c>
      <c r="F133" t="str">
        <v>49.21779033943015</v>
      </c>
      <c r="G133" t="str">
        <v xml:space="preserve"> -0.2819560913042083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27</v>
      </c>
      <c r="C134">
        <v>14530</v>
      </c>
      <c r="D134" t="str">
        <v>Ranville</v>
      </c>
      <c r="E134" t="str">
        <v>Dalle borne à verre</v>
      </c>
      <c r="F134" t="str">
        <v>49.21778458290554</v>
      </c>
      <c r="G134" t="str">
        <v xml:space="preserve"> -0.2819500579137171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28</v>
      </c>
      <c r="C135">
        <v>14246</v>
      </c>
      <c r="D135" t="str">
        <v>Escoville</v>
      </c>
      <c r="E135" t="str">
        <v>Dalle cabane à cartons</v>
      </c>
      <c r="F135" t="str">
        <v>49.210131672560685</v>
      </c>
      <c r="G135" t="str">
        <v xml:space="preserve"> -0.23835679485422115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29</v>
      </c>
      <c r="C136">
        <v>14106</v>
      </c>
      <c r="D136" t="str">
        <v>Bréville-les-Monts</v>
      </c>
      <c r="E136" t="str">
        <v>Dalle PDR</v>
      </c>
      <c r="F136" t="str">
        <v>49.2243252</v>
      </c>
      <c r="G136" t="str">
        <v xml:space="preserve"> -0.2265394</v>
      </c>
      <c r="H136" t="str">
        <v>DALLE A FAIRE</v>
      </c>
      <c r="I136" t="str">
        <v>A AGRANDIR</v>
      </c>
    </row>
    <row r="137" spans="1:9" x14ac:dyDescent="0.25">
      <c r="A137" s="109">
        <v>136</v>
      </c>
      <c r="B137" s="109">
        <v>29</v>
      </c>
      <c r="C137">
        <v>14106</v>
      </c>
      <c r="D137" t="str">
        <v>Bréville-les-Monts</v>
      </c>
      <c r="E137" t="str">
        <v>Dalle borne à verre</v>
      </c>
      <c r="F137" t="str">
        <v>49.24513</v>
      </c>
      <c r="G137" t="str">
        <v xml:space="preserve"> -0.20131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30</v>
      </c>
      <c r="C138">
        <v>14024</v>
      </c>
      <c r="D138" t="str">
        <v>Auberville</v>
      </c>
      <c r="E138" t="str">
        <v>Dalle PDR</v>
      </c>
      <c r="F138" t="str">
        <v>49.3065861</v>
      </c>
      <c r="G138" t="str">
        <v xml:space="preserve"> -0.0288498</v>
      </c>
      <c r="H138" t="str">
        <v>DALLE A FAIRE</v>
      </c>
      <c r="I138" t="str">
        <v>A AMÉNAGER</v>
      </c>
    </row>
    <row r="139" spans="1:9" x14ac:dyDescent="0.25">
      <c r="A139" s="109">
        <v>138</v>
      </c>
      <c r="B139" s="109">
        <v>30</v>
      </c>
      <c r="C139">
        <v>14024</v>
      </c>
      <c r="D139" t="str">
        <v>Auberville</v>
      </c>
      <c r="E139" t="str">
        <v>Dalle PDR</v>
      </c>
      <c r="F139" t="str">
        <v>49.31762117435177</v>
      </c>
      <c r="G139" t="str">
        <v xml:space="preserve"> -0.015299902973347072</v>
      </c>
      <c r="H139" t="str">
        <v>DALLE A FAIRE</v>
      </c>
      <c r="I139" t="str">
        <v>A AMÉNAGER</v>
      </c>
    </row>
    <row r="140" spans="1:9" x14ac:dyDescent="0.25">
      <c r="A140" s="109">
        <v>139</v>
      </c>
      <c r="B140" s="109">
        <v>30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30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5</v>
      </c>
      <c r="G15" s="85">
        <v>1</v>
      </c>
      <c r="H15" s="86">
        <f t="shared" si="0"/>
        <v>6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2</v>
      </c>
      <c r="G16" s="85">
        <v>2</v>
      </c>
      <c r="H16" s="86">
        <f t="shared" si="0"/>
        <v>4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Rumesnil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Beuvron-en-Auge</v>
      </c>
      <c r="C20" s="81">
        <v>40</v>
      </c>
      <c r="D20" s="81" t="str">
        <v>P2 - Haute</v>
      </c>
      <c r="E20" s="85">
        <v>2</v>
      </c>
      <c r="F20" s="85">
        <v>2</v>
      </c>
      <c r="G20" s="85">
        <v>0</v>
      </c>
      <c r="H20" s="86">
        <f t="shared" si="0"/>
        <v>4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Douville-en-Auge</v>
      </c>
      <c r="C22" s="81">
        <v>39</v>
      </c>
      <c r="D22" s="81" t="str">
        <v>P3 - Moyenne</v>
      </c>
      <c r="E22" s="85">
        <v>0</v>
      </c>
      <c r="F22" s="85">
        <v>3</v>
      </c>
      <c r="G22" s="85">
        <v>1</v>
      </c>
      <c r="H22" s="86">
        <f t="shared" si="0"/>
        <v>4</v>
      </c>
    </row>
    <row r="23" spans="1:8" x14ac:dyDescent="0.25">
      <c r="A23" s="78">
        <v>18</v>
      </c>
      <c r="B23" s="75" t="str">
        <v>Beaufour-Druval</v>
      </c>
      <c r="C23" s="81">
        <v>35</v>
      </c>
      <c r="D23" s="81" t="str">
        <v>P3 - Moyenne</v>
      </c>
      <c r="E23" s="85">
        <v>1</v>
      </c>
      <c r="F23" s="85">
        <v>1</v>
      </c>
      <c r="G23" s="85">
        <v>0</v>
      </c>
      <c r="H23" s="86">
        <f t="shared" si="0"/>
        <v>2</v>
      </c>
    </row>
    <row r="24" spans="1:8" x14ac:dyDescent="0.25">
      <c r="A24" s="78">
        <v>19</v>
      </c>
      <c r="B24" s="75" t="str">
        <v>Cresseveuille</v>
      </c>
      <c r="C24" s="81">
        <v>34</v>
      </c>
      <c r="D24" s="81" t="str">
        <v>P3 - Moyenne</v>
      </c>
      <c r="E24" s="85">
        <v>0</v>
      </c>
      <c r="F24" s="85">
        <v>1</v>
      </c>
      <c r="G24" s="85">
        <v>1</v>
      </c>
      <c r="H24" s="86">
        <f t="shared" si="0"/>
        <v>2</v>
      </c>
    </row>
    <row r="25" spans="1:8" x14ac:dyDescent="0.25">
      <c r="A25" s="78">
        <v>20</v>
      </c>
      <c r="B25" s="75" t="str">
        <v>Amfreville</v>
      </c>
      <c r="C25" s="81">
        <v>33</v>
      </c>
      <c r="D25" s="81" t="str">
        <v>P3 - Moyenne</v>
      </c>
      <c r="E25" s="85">
        <v>1</v>
      </c>
      <c r="F25" s="85">
        <v>1</v>
      </c>
      <c r="G25" s="85">
        <v>2</v>
      </c>
      <c r="H25" s="86">
        <f t="shared" si="0"/>
        <v>4</v>
      </c>
    </row>
    <row r="26" spans="1:8" x14ac:dyDescent="0.25">
      <c r="A26" s="78">
        <v>21</v>
      </c>
      <c r="B26" s="75" t="str">
        <v>Hotot-en-Auge</v>
      </c>
      <c r="C26" s="81">
        <v>30</v>
      </c>
      <c r="D26" s="81" t="str">
        <v>P3 - Moyenne</v>
      </c>
      <c r="E26" s="85">
        <v>0</v>
      </c>
      <c r="F26" s="85">
        <v>0</v>
      </c>
      <c r="G26" s="85">
        <v>0</v>
      </c>
      <c r="H26" s="86">
        <f t="shared" si="0"/>
        <v>0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12</v>
      </c>
      <c r="F48" s="91">
        <f>SUMIF($D$6:$D$43,$A48,H$6:H$43)</f>
        <v>66</v>
      </c>
    </row>
    <row r="49" spans="1:8" x14ac:dyDescent="0.25">
      <c r="A49" s="96" t="s">
        <v>475</v>
      </c>
      <c r="B49" s="90">
        <f t="shared" ref="B49:B51" si="1">COUNTIF($D$6:$D$43,$A49)</f>
        <v>9</v>
      </c>
      <c r="C49" s="90">
        <f t="shared" ref="C49:C51" si="2">SUMIF($D$6:$D$43,$A49,E$6:E$43)</f>
        <v>6</v>
      </c>
      <c r="D49" s="90">
        <f t="shared" ref="D49:D51" si="3">SUMIF($D$6:$D$43,$A49,F$6:F$43)</f>
        <v>24</v>
      </c>
      <c r="E49" s="90">
        <f t="shared" ref="E49:E51" si="4">SUMIF($D$6:$D$43,$A49,G$6:G$43)</f>
        <v>6</v>
      </c>
      <c r="F49" s="91">
        <f t="shared" ref="F49:F51" si="5">SUMIF($D$6:$D$43,$A49,H$6:H$43)</f>
        <v>36</v>
      </c>
    </row>
    <row r="50" spans="1:8" x14ac:dyDescent="0.25">
      <c r="A50" s="97" t="s">
        <v>476</v>
      </c>
      <c r="B50" s="90">
        <f t="shared" si="1"/>
        <v>6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477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93</v>
      </c>
      <c r="E52" s="93">
        <f>SUM(E48:E51)</f>
        <v>28</v>
      </c>
      <c r="F52" s="94">
        <f>SUM(F48:F51)</f>
        <v>141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Douville-en-Auge / 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46308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2026-10-13T11:05:03Z</dcterms:modified>
  <cp:category/>
  <cp:contentStatus/>
</cp:coreProperties>
</file>