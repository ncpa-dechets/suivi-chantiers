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E066D8B5-383F-40F1-B158-3011E27F25C7}" xr6:coauthVersionLast="47" xr6:coauthVersionMax="47" xr10:uidLastSave="{00000000-0000-0000-0000-000000000000}"/>
  <bookViews>
    <workbookView xWindow="38280" yWindow="-120" windowWidth="29040" windowHeight="15720" tabRatio="500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BDD_SUIVI_CHANTIERS!$A$1:$G$144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4" l="1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A2" i="14" s="1" a="1"/>
  <c r="A2" i="14" s="1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<sst xmlns="http://schemas.openxmlformats.org/spreadsheetml/2006/main" count="1951" uniqueCount="546">
  <si>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</si>
  <si>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</si>
  <si>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</si>
  <si>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</si>
  <si>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</si>
  <si>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</si>
  <si>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</si>
  <si>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</si>
  <si>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</si>
  <si>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</si>
  <si>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</si>
  <si>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</si>
  <si>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</si>
  <si>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</si>
  <si>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</si>
  <si>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</si>
  <si>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</si>
  <si>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</si>
  <si>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</si>
  <si>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</si>
  <si>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</si>
  <si>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</si>
  <si>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</si>
  <si>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</si>
  <si>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</si>
  <si>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</si>
  <si>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</si>
  <si>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</si>
  <si>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</si>
  <si>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</si>
  <si>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</si>
  <si>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</si>
  <si>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</si>
  <si>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</si>
  <si>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</si>
  <si>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</si>
  <si>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</si>
  <si>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</si>
  <si>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</si>
  <si>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</si>
  <si>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</si>
  <si>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</si>
  <si>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</si>
  <si>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</si>
  <si>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</si>
  <si>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</si>
  <si>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</si>
  <si>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</si>
  <si>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</si>
  <si>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</si>
  <si>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</si>
  <si>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</si>
  <si>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</si>
  <si>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</si>
  <si>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</si>
  <si>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</si>
  <si>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</si>
  <si>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</si>
  <si>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</si>
  <si>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</si>
  <si>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</si>
  <si>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</si>
  <si>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</si>
  <si>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</si>
  <si>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</si>
  <si>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</si>
  <si>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</si>
  <si>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</si>
  <si>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</si>
  <si>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</si>
  <si>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</si>
  <si>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</si>
  <si>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</si>
  <si>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</si>
  <si>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</si>
  <si>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</si>
  <si>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</si>
  <si>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</si>
  <si>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</si>
  <si>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</si>
  <si>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</si>
  <si>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</si>
  <si>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</si>
  <si>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</si>
  <si>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</si>
  <si>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</si>
  <si>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</si>
  <si>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</si>
  <si>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</si>
  <si>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</si>
  <si>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</si>
  <si>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</si>
  <si>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</si>
  <si>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</si>
  <si>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</si>
  <si>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</si>
  <si>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</si>
  <si>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</si>
  <si>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</si>
  <si>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</si>
  <si>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</si>
  <si>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</si>
  <si>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</si>
  <si>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</si>
  <si>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</si>
  <si>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</si>
  <si>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</si>
  <si>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</si>
  <si>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</si>
  <si>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</si>
  <si>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</si>
  <si>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</si>
  <si>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</si>
  <si>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</si>
  <si>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</si>
  <si>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</si>
  <si>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</si>
  <si>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</si>
  <si>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</si>
  <si>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</si>
  <si>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</si>
  <si>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</si>
  <si>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</si>
  <si>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</si>
  <si>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</si>
  <si>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</si>
  <si>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</si>
  <si>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</si>
  <si>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</si>
  <si>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</si>
  <si>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</si>
  <si>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</si>
  <si>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</si>
  <si>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</si>
  <si>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</si>
  <si>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</si>
  <si>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</si>
  <si>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</si>
  <si>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</si>
  <si>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</si>
  <si>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</si>
  <si>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</si>
  <si>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</si>
  <si>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</si>
  <si>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</si>
  <si>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</si>
  <si>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</si>
  <si>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</si>
  <si>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</si>
  <si>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</si>
  <si>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</si>
  <si>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</si>
  <si>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</si>
  <si>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</si>
  <si>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</si>
  <si>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</si>
  <si>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</si>
  <si>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</si>
  <si>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</si>
  <si>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</si>
  <si>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</si>
  <si>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</si>
  <si>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</si>
  <si>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</si>
  <si>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</si>
  <si>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</si>
  <si>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</si>
  <si>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</si>
  <si>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</si>
  <si>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</si>
  <si>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</si>
  <si>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</si>
  <si>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</si>
  <si>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</si>
  <si>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</si>
  <si>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</si>
  <si>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</si>
  <si>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</si>
  <si>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</si>
  <si>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</si>
  <si>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</si>
  <si>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</si>
  <si>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</si>
  <si>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</si>
  <si>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</si>
  <si>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</si>
  <si>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</si>
  <si>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</si>
  <si>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</si>
  <si>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</si>
  <si>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</si>
  <si>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</si>
  <si>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</si>
  <si>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</si>
  <si>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</si>
  <si>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</si>
  <si>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</si>
  <si>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</si>
  <si>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</si>
  <si>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</si>
  <si>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</si>
  <si>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</si>
  <si>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</si>
  <si>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</si>
  <si>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</si>
  <si>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</si>
  <si>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</si>
  <si>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</si>
  <si>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</si>
  <si>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</si>
  <si>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</si>
  <si>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</si>
  <si>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</si>
  <si>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</si>
  <si>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</si>
  <si>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</si>
  <si>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</si>
  <si>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</si>
  <si>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</si>
  <si>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</si>
  <si>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</si>
  <si>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</si>
  <si>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</si>
  <si>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</si>
  <si>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</si>
  <si>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</si>
  <si>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</si>
  <si>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</si>
  <si>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</si>
  <si>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</si>
  <si>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</si>
  <si>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</si>
  <si>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</si>
  <si>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</si>
  <si>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</si>
  <si>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</si>
  <si>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</si>
  <si>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</si>
  <si>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</si>
  <si>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</si>
  <si>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</si>
  <si>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</si>
  <si>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</si>
  <si>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</si>
  <si>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</si>
  <si>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</si>
  <si>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</si>
  <si>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</si>
  <si>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</si>
  <si>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</si>
  <si>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</si>
  <si>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</si>
  <si>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</si>
  <si>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</si>
  <si>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</si>
  <si>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</si>
  <si>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</si>
  <si>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</si>
  <si>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</si>
  <si>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</si>
  <si>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</si>
  <si>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</si>
  <si>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</si>
  <si>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</si>
  <si>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</si>
  <si>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</si>
  <si>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</si>
  <si>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</si>
  <si>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</si>
  <si>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</si>
  <si>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</si>
  <si>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</si>
  <si>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</si>
  <si>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</si>
  <si>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</si>
  <si>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</si>
  <si>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</si>
  <si>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</si>
  <si>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</si>
  <si>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</si>
  <si>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</si>
  <si>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</si>
  <si>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</si>
  <si>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</si>
  <si>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</si>
  <si>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</si>
  <si>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</si>
  <si>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</si>
  <si>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</si>
  <si>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</si>
  <si>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</si>
  <si>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</si>
  <si>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</si>
  <si>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</si>
  <si>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</si>
  <si>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</si>
  <si>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</si>
  <si>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</si>
  <si>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</si>
  <si>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</si>
  <si>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</si>
  <si>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</si>
  <si>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</si>
  <si>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</si>
  <si>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</si>
  <si>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</si>
  <si>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</si>
  <si>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</si>
  <si>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</si>
  <si>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</si>
  <si>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</si>
  <si>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</si>
  <si>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</si>
  <si>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</si>
  <si>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</si>
  <si>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</si>
  <si>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</si>
  <si>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</si>
  <si>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</si>
  <si>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</si>
  <si>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</si>
  <si>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</si>
  <si>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</si>
  <si>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</si>
  <si>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</si>
  <si>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</si>
  <si>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</si>
  <si>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</si>
  <si>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</si>
  <si>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</si>
  <si>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</si>
  <si>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</si>
  <si>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</si>
  <si>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</si>
  <si>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</si>
  <si>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</si>
  <si>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</si>
  <si>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</si>
  <si>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</si>
  <si>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</si>
  <si>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</si>
  <si>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</si>
  <si>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</si>
  <si>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</si>
  <si>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</si>
  <si>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</si>
  <si>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</si>
  <si>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</si>
  <si>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</si>
  <si>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</si>
  <si>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</si>
  <si>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</si>
  <si>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</si>
  <si>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</si>
  <si>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</si>
  <si>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</si>
  <si>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</si>
  <si>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</si>
  <si>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</si>
  <si>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</si>
  <si>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</si>
  <si>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</si>
  <si>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</si>
  <si>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</si>
  <si>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</si>
  <si>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</si>
  <si>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</si>
  <si>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</si>
  <si>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</si>
  <si>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</si>
  <si>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</si>
  <si>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</si>
  <si>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</si>
  <si>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</si>
  <si>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</si>
  <si>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</si>
  <si>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</si>
  <si>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</si>
  <si>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</si>
  <si>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</si>
  <si>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</si>
  <si>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</si>
  <si>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</si>
  <si>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</si>
  <si>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</si>
  <si>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</si>
  <si>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</si>
  <si>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</si>
  <si>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</si>
  <si>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</si>
  <si>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</si>
  <si>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</si>
  <si>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</si>
  <si>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</si>
  <si>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</si>
  <si>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</si>
  <si>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</si>
  <si>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</si>
  <si>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</si>
  <si>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</si>
  <si>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</si>
  <si>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</si>
  <si>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</si>
  <si>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</si>
  <si>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</si>
  <si>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</si>
  <si>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</si>
  <si>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</si>
  <si>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</si>
  <si>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</si>
  <si>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</si>
  <si>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</si>
  <si>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</si>
  <si>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</si>
  <si>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</si>
  <si>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</si>
  <si>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</si>
  <si>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</si>
  <si>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</si>
  <si>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</si>
  <si>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</si>
  <si>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</si>
  <si>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</si>
  <si>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</si>
  <si>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</si>
  <si>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</si>
  <si>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</si>
  <si>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</si>
  <si>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</si>
  <si>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</si>
  <si>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</si>
  <si>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</si>
  <si>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</si>
  <si>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49.230730058721775</t>
  </si>
  <si>
    <t xml:space="preserve"> -0.04459631849467809</t>
  </si>
  <si>
    <t>49.29988446178953</t>
  </si>
  <si>
    <t xml:space="preserve"> -0.05982123995887206</t>
  </si>
  <si>
    <t>A DÉPLACER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</si>
  <si>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</si>
  <si>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</si>
  <si>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</si>
  <si>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</si>
  <si>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</si>
  <si>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</si>
  <si>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</si>
  <si>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</si>
  <si>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</si>
  <si>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</si>
  <si>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</si>
  <si>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</si>
  <si>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</si>
  <si>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</si>
  <si>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</si>
  <si>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</si>
  <si>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</si>
  <si>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</si>
  <si>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</si>
  <si>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</si>
  <si>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</si>
  <si>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</si>
  <si>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</si>
  <si>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</si>
  <si>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</si>
  <si>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</si>
  <si>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</si>
  <si>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</si>
  <si>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</si>
  <si>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</si>
  <si>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</si>
  <si>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</si>
  <si>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</si>
  <si>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</si>
  <si>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</si>
  <si>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</si>
  <si>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</si>
  <si>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</si>
  <si>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</si>
  <si>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</si>
  <si>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</si>
  <si>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</si>
  <si>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</si>
  <si>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</si>
  <si>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</si>
  <si>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</si>
  <si>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</si>
  <si>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</si>
  <si>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</si>
  <si>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</si>
  <si>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</si>
  <si>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</si>
  <si>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</si>
  <si>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</si>
  <si>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</si>
  <si>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</si>
  <si>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</si>
  <si>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</si>
  <si>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</si>
  <si>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</si>
  <si>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</si>
  <si>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</si>
  <si>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</si>
  <si>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</si>
  <si>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</si>
  <si>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</si>
  <si>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</si>
  <si>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</si>
  <si>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</si>
  <si>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</si>
  <si>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</si>
  <si>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</si>
  <si>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</si>
  <si>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</si>
  <si>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</si>
  <si>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</si>
  <si>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</si>
  <si>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</si>
  <si>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</si>
  <si>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</si>
  <si>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</si>
  <si>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</si>
  <si>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</si>
  <si>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</si>
  <si>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</si>
  <si>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</si>
  <si>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</si>
  <si>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</si>
  <si>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</si>
  <si>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</si>
  <si>
    <t>49.23393579016323</t>
  </si>
  <si>
    <t xml:space="preserve"> -0.0036251905269772257</t>
  </si>
  <si>
    <t>49.18846261113245</t>
  </si>
  <si>
    <t xml:space="preserve"> -0.04899986696358147</t>
  </si>
  <si>
    <t>49.18842466474889</t>
  </si>
  <si>
    <t xml:space="preserve"> -0.04898877950306013</t>
  </si>
  <si>
    <t>49.25551005587573</t>
  </si>
  <si>
    <t xml:space="preserve"> -0.1333894879310426</t>
  </si>
  <si>
    <t>49.28795646296933</t>
  </si>
  <si>
    <t xml:space="preserve"> -0.11498732277242912</t>
  </si>
  <si>
    <t>49.2844383</t>
  </si>
  <si>
    <t xml:space="preserve"> -0.1674382</t>
  </si>
  <si>
    <t>49.172896400387046</t>
  </si>
  <si>
    <t xml:space="preserve"> -0.018331281814506866</t>
  </si>
  <si>
    <t>49.16676639949451</t>
  </si>
  <si>
    <t xml:space="preserve"> -0.051771965627920254</t>
  </si>
  <si>
    <t>49.1810073736742</t>
  </si>
  <si>
    <t xml:space="preserve"> -0.10322438094979478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</si>
</sst>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4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0" xfId="0" applyNumberFormat="1"/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45</c:v>
                </c:pt>
                <c:pt idx="1">
                  <c:v>26</c:v>
                </c:pt>
                <c:pt idx="2">
                  <c:v>7</c:v>
                </c:pt>
                <c:pt idx="3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4" tableType="queryTable" totalsRowShown="0">
  <autoFilter ref="A1:G144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3"/>
    <tableColumn id="3" xr3:uid="{C1B44CB3-87DD-4EA0-9CD8-E05789DA6808}" uniqueName="3" name="type" queryTableFieldId="3" dataDxfId="2"/>
    <tableColumn id="4" xr3:uid="{AF0E6AB0-A895-4E52-8C34-645D56B009A3}" uniqueName="4" name="latitude" queryTableFieldId="4" dataDxfId="1"/>
    <tableColumn id="5" xr3:uid="{634CF582-55D4-4396-AFC2-3D295BAE9712}" uniqueName="5" name="longitude" queryTableFieldId="5" dataDxfId="0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5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4"/>
  <sheetViews>
    <sheetView tabSelected="1" workbookViewId="0">
      <selection activeCell="C11" sqref="C11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s="153" t="s">
        <v>105</v>
      </c>
      <c r="C2" s="153" t="s">
        <v>91</v>
      </c>
      <c r="D2" s="153" t="s">
        <v>196</v>
      </c>
      <c r="E2" s="153" t="s">
        <v>197</v>
      </c>
      <c r="F2" t="s">
        <v>258</v>
      </c>
    </row>
    <row r="3" spans="1:7" x14ac:dyDescent="0.25">
      <c r="A3">
        <v>14070</v>
      </c>
      <c r="B3" s="153" t="s">
        <v>101</v>
      </c>
      <c r="C3" s="153" t="s">
        <v>91</v>
      </c>
      <c r="D3" s="153" t="s">
        <v>530</v>
      </c>
      <c r="E3" s="153" t="s">
        <v>531</v>
      </c>
      <c r="F3" t="s">
        <v>258</v>
      </c>
    </row>
    <row r="4" spans="1:7" x14ac:dyDescent="0.25">
      <c r="A4">
        <v>14070</v>
      </c>
      <c r="B4" s="153" t="s">
        <v>101</v>
      </c>
      <c r="C4" s="153" t="s">
        <v>91</v>
      </c>
      <c r="D4" s="153" t="s">
        <v>532</v>
      </c>
      <c r="E4" s="153" t="s">
        <v>533</v>
      </c>
      <c r="F4" t="s">
        <v>258</v>
      </c>
    </row>
    <row r="5" spans="1:7" x14ac:dyDescent="0.25">
      <c r="A5">
        <v>14117</v>
      </c>
      <c r="B5" s="153" t="s">
        <v>109</v>
      </c>
      <c r="C5" s="153" t="s">
        <v>91</v>
      </c>
      <c r="D5" s="153" t="s">
        <v>411</v>
      </c>
      <c r="E5" s="153" t="s">
        <v>412</v>
      </c>
      <c r="F5" t="s">
        <v>258</v>
      </c>
    </row>
    <row r="6" spans="1:7" x14ac:dyDescent="0.25">
      <c r="A6">
        <v>14117</v>
      </c>
      <c r="B6" s="153" t="s">
        <v>109</v>
      </c>
      <c r="C6" s="153" t="s">
        <v>91</v>
      </c>
      <c r="D6" s="153" t="s">
        <v>413</v>
      </c>
      <c r="E6" s="153" t="s">
        <v>414</v>
      </c>
      <c r="F6" t="s">
        <v>258</v>
      </c>
    </row>
    <row r="7" spans="1:7" x14ac:dyDescent="0.25">
      <c r="A7">
        <v>14203</v>
      </c>
      <c r="B7" s="153" t="s">
        <v>94</v>
      </c>
      <c r="C7" s="153" t="s">
        <v>91</v>
      </c>
      <c r="D7" s="153" t="s">
        <v>394</v>
      </c>
      <c r="E7" s="153" t="s">
        <v>395</v>
      </c>
      <c r="F7" t="s">
        <v>258</v>
      </c>
    </row>
    <row r="8" spans="1:7" x14ac:dyDescent="0.25">
      <c r="A8">
        <v>14229</v>
      </c>
      <c r="B8" s="153" t="s">
        <v>86</v>
      </c>
      <c r="C8" s="153" t="s">
        <v>91</v>
      </c>
      <c r="D8" s="153" t="s">
        <v>509</v>
      </c>
      <c r="E8" s="153" t="s">
        <v>510</v>
      </c>
      <c r="F8" t="s">
        <v>258</v>
      </c>
    </row>
    <row r="9" spans="1:7" x14ac:dyDescent="0.25">
      <c r="A9">
        <v>14229</v>
      </c>
      <c r="B9" s="153" t="s">
        <v>86</v>
      </c>
      <c r="C9" s="153" t="s">
        <v>91</v>
      </c>
      <c r="D9" s="153" t="s">
        <v>415</v>
      </c>
      <c r="E9" s="153" t="s">
        <v>416</v>
      </c>
      <c r="F9" t="s">
        <v>258</v>
      </c>
    </row>
    <row r="10" spans="1:7" x14ac:dyDescent="0.25">
      <c r="A10">
        <v>14229</v>
      </c>
      <c r="B10" s="153" t="s">
        <v>86</v>
      </c>
      <c r="C10" s="153" t="s">
        <v>91</v>
      </c>
      <c r="D10" s="153" t="s">
        <v>417</v>
      </c>
      <c r="E10" s="153" t="s">
        <v>418</v>
      </c>
      <c r="F10" t="s">
        <v>258</v>
      </c>
    </row>
    <row r="11" spans="1:7" x14ac:dyDescent="0.25">
      <c r="A11">
        <v>14231</v>
      </c>
      <c r="B11" s="153" t="s">
        <v>100</v>
      </c>
      <c r="C11" s="153" t="s">
        <v>91</v>
      </c>
      <c r="D11" s="153" t="s">
        <v>396</v>
      </c>
      <c r="E11" s="153" t="s">
        <v>397</v>
      </c>
      <c r="F11" t="s">
        <v>258</v>
      </c>
    </row>
    <row r="12" spans="1:7" x14ac:dyDescent="0.25">
      <c r="A12">
        <v>14246</v>
      </c>
      <c r="B12" s="153" t="s">
        <v>129</v>
      </c>
      <c r="C12" s="153" t="s">
        <v>91</v>
      </c>
      <c r="D12" s="153" t="s">
        <v>511</v>
      </c>
      <c r="E12" s="153" t="s">
        <v>512</v>
      </c>
      <c r="F12" t="s">
        <v>258</v>
      </c>
    </row>
    <row r="13" spans="1:7" x14ac:dyDescent="0.25">
      <c r="A13">
        <v>14306</v>
      </c>
      <c r="B13" s="153" t="s">
        <v>96</v>
      </c>
      <c r="C13" s="153" t="s">
        <v>91</v>
      </c>
      <c r="D13" s="153" t="s">
        <v>419</v>
      </c>
      <c r="E13" s="153" t="s">
        <v>420</v>
      </c>
      <c r="F13" t="s">
        <v>258</v>
      </c>
    </row>
    <row r="14" spans="1:7" x14ac:dyDescent="0.25">
      <c r="A14">
        <v>14316</v>
      </c>
      <c r="B14" s="153" t="s">
        <v>98</v>
      </c>
      <c r="C14" s="153" t="s">
        <v>91</v>
      </c>
      <c r="D14" s="153" t="s">
        <v>515</v>
      </c>
      <c r="E14" s="153" t="s">
        <v>516</v>
      </c>
      <c r="F14" t="s">
        <v>258</v>
      </c>
    </row>
    <row r="15" spans="1:7" x14ac:dyDescent="0.25">
      <c r="A15">
        <v>14338</v>
      </c>
      <c r="B15" s="153" t="s">
        <v>112</v>
      </c>
      <c r="C15" s="153" t="s">
        <v>91</v>
      </c>
      <c r="D15" s="153" t="s">
        <v>398</v>
      </c>
      <c r="E15" s="153" t="s">
        <v>399</v>
      </c>
      <c r="F15" t="s">
        <v>258</v>
      </c>
    </row>
    <row r="16" spans="1:7" x14ac:dyDescent="0.25">
      <c r="A16">
        <v>14524</v>
      </c>
      <c r="B16" s="153" t="s">
        <v>103</v>
      </c>
      <c r="C16" s="153" t="s">
        <v>91</v>
      </c>
      <c r="D16" s="153" t="s">
        <v>202</v>
      </c>
      <c r="E16" s="153" t="s">
        <v>203</v>
      </c>
      <c r="F16" t="s">
        <v>258</v>
      </c>
    </row>
    <row r="17" spans="1:6" x14ac:dyDescent="0.25">
      <c r="A17">
        <v>14530</v>
      </c>
      <c r="B17" s="153" t="s">
        <v>114</v>
      </c>
      <c r="C17" s="153" t="s">
        <v>91</v>
      </c>
      <c r="D17" s="153" t="s">
        <v>479</v>
      </c>
      <c r="E17" s="153" t="s">
        <v>480</v>
      </c>
      <c r="F17" t="s">
        <v>258</v>
      </c>
    </row>
    <row r="18" spans="1:6" x14ac:dyDescent="0.25">
      <c r="A18">
        <v>14598</v>
      </c>
      <c r="B18" s="153" t="s">
        <v>104</v>
      </c>
      <c r="C18" s="153" t="s">
        <v>91</v>
      </c>
      <c r="D18" s="153" t="s">
        <v>400</v>
      </c>
      <c r="E18" s="153" t="s">
        <v>401</v>
      </c>
      <c r="F18" t="s">
        <v>258</v>
      </c>
    </row>
    <row r="19" spans="1:6" x14ac:dyDescent="0.25">
      <c r="A19">
        <v>14665</v>
      </c>
      <c r="B19" s="153" t="s">
        <v>90</v>
      </c>
      <c r="C19" s="153" t="s">
        <v>91</v>
      </c>
      <c r="D19" s="153" t="s">
        <v>204</v>
      </c>
      <c r="E19" s="153" t="s">
        <v>205</v>
      </c>
      <c r="F19" t="s">
        <v>258</v>
      </c>
    </row>
    <row r="20" spans="1:6" x14ac:dyDescent="0.25">
      <c r="A20">
        <v>14743</v>
      </c>
      <c r="B20" s="153" t="s">
        <v>136</v>
      </c>
      <c r="C20" s="153" t="s">
        <v>91</v>
      </c>
      <c r="D20" s="153" t="s">
        <v>392</v>
      </c>
      <c r="E20" s="153" t="s">
        <v>393</v>
      </c>
      <c r="F20" t="s">
        <v>258</v>
      </c>
    </row>
    <row r="21" spans="1:6" x14ac:dyDescent="0.25">
      <c r="A21">
        <v>14743</v>
      </c>
      <c r="B21" s="153" t="s">
        <v>136</v>
      </c>
      <c r="C21" s="153" t="s">
        <v>91</v>
      </c>
      <c r="D21" s="153" t="s">
        <v>402</v>
      </c>
      <c r="E21" s="153" t="s">
        <v>403</v>
      </c>
      <c r="F21" t="s">
        <v>258</v>
      </c>
    </row>
    <row r="22" spans="1:6" x14ac:dyDescent="0.25">
      <c r="A22">
        <v>14009</v>
      </c>
      <c r="B22" s="153" t="s">
        <v>105</v>
      </c>
      <c r="C22" s="153" t="s">
        <v>87</v>
      </c>
      <c r="D22" s="153" t="s">
        <v>150</v>
      </c>
      <c r="E22" s="153" t="s">
        <v>151</v>
      </c>
      <c r="F22" t="s">
        <v>258</v>
      </c>
    </row>
    <row r="23" spans="1:6" x14ac:dyDescent="0.25">
      <c r="A23">
        <v>14009</v>
      </c>
      <c r="B23" s="153" t="s">
        <v>105</v>
      </c>
      <c r="C23" s="153" t="s">
        <v>87</v>
      </c>
      <c r="D23" s="153" t="s">
        <v>152</v>
      </c>
      <c r="E23" s="153" t="s">
        <v>153</v>
      </c>
      <c r="F23" t="s">
        <v>258</v>
      </c>
    </row>
    <row r="24" spans="1:6" x14ac:dyDescent="0.25">
      <c r="A24">
        <v>14046</v>
      </c>
      <c r="B24" s="153" t="s">
        <v>107</v>
      </c>
      <c r="C24" s="153" t="s">
        <v>87</v>
      </c>
      <c r="D24" s="153" t="s">
        <v>156</v>
      </c>
      <c r="E24" s="153" t="s">
        <v>157</v>
      </c>
      <c r="F24" t="s">
        <v>258</v>
      </c>
    </row>
    <row r="25" spans="1:6" x14ac:dyDescent="0.25">
      <c r="A25">
        <v>14046</v>
      </c>
      <c r="B25" s="153" t="s">
        <v>107</v>
      </c>
      <c r="C25" s="153" t="s">
        <v>87</v>
      </c>
      <c r="D25" s="153" t="s">
        <v>158</v>
      </c>
      <c r="E25" s="153" t="s">
        <v>159</v>
      </c>
      <c r="F25" t="s">
        <v>258</v>
      </c>
    </row>
    <row r="26" spans="1:6" x14ac:dyDescent="0.25">
      <c r="A26">
        <v>14106</v>
      </c>
      <c r="B26" s="153" t="s">
        <v>108</v>
      </c>
      <c r="C26" s="153" t="s">
        <v>87</v>
      </c>
      <c r="D26" s="153" t="s">
        <v>493</v>
      </c>
      <c r="E26" s="153" t="s">
        <v>494</v>
      </c>
      <c r="F26" t="s">
        <v>258</v>
      </c>
    </row>
    <row r="27" spans="1:6" x14ac:dyDescent="0.25">
      <c r="A27">
        <v>14110</v>
      </c>
      <c r="B27" s="153" t="s">
        <v>102</v>
      </c>
      <c r="C27" s="153" t="s">
        <v>87</v>
      </c>
      <c r="D27" s="153" t="s">
        <v>160</v>
      </c>
      <c r="E27" s="153" t="s">
        <v>161</v>
      </c>
      <c r="F27" t="s">
        <v>258</v>
      </c>
    </row>
    <row r="28" spans="1:6" x14ac:dyDescent="0.25">
      <c r="A28">
        <v>14117</v>
      </c>
      <c r="B28" s="153" t="s">
        <v>109</v>
      </c>
      <c r="C28" s="153" t="s">
        <v>87</v>
      </c>
      <c r="D28" s="153" t="s">
        <v>162</v>
      </c>
      <c r="E28" s="153" t="s">
        <v>163</v>
      </c>
      <c r="F28" t="s">
        <v>258</v>
      </c>
    </row>
    <row r="29" spans="1:6" x14ac:dyDescent="0.25">
      <c r="A29">
        <v>14117</v>
      </c>
      <c r="B29" s="153" t="s">
        <v>109</v>
      </c>
      <c r="C29" s="153" t="s">
        <v>87</v>
      </c>
      <c r="D29" s="153" t="s">
        <v>164</v>
      </c>
      <c r="E29" s="153" t="s">
        <v>165</v>
      </c>
      <c r="F29" t="s">
        <v>258</v>
      </c>
    </row>
    <row r="30" spans="1:6" x14ac:dyDescent="0.25">
      <c r="A30">
        <v>14117</v>
      </c>
      <c r="B30" s="153" t="s">
        <v>109</v>
      </c>
      <c r="C30" s="153" t="s">
        <v>87</v>
      </c>
      <c r="D30" s="153" t="s">
        <v>503</v>
      </c>
      <c r="E30" s="153" t="s">
        <v>504</v>
      </c>
      <c r="F30" t="s">
        <v>258</v>
      </c>
    </row>
    <row r="31" spans="1:6" x14ac:dyDescent="0.25">
      <c r="A31">
        <v>14198</v>
      </c>
      <c r="B31" s="153" t="s">
        <v>93</v>
      </c>
      <c r="C31" s="153" t="s">
        <v>87</v>
      </c>
      <c r="D31" s="153" t="s">
        <v>495</v>
      </c>
      <c r="E31" s="153" t="s">
        <v>496</v>
      </c>
      <c r="F31" t="s">
        <v>258</v>
      </c>
    </row>
    <row r="32" spans="1:6" x14ac:dyDescent="0.25">
      <c r="A32">
        <v>14225</v>
      </c>
      <c r="B32" s="153" t="s">
        <v>110</v>
      </c>
      <c r="C32" s="153" t="s">
        <v>87</v>
      </c>
      <c r="D32" s="153" t="s">
        <v>166</v>
      </c>
      <c r="E32" s="153" t="s">
        <v>167</v>
      </c>
      <c r="F32" t="s">
        <v>258</v>
      </c>
    </row>
    <row r="33" spans="1:6" x14ac:dyDescent="0.25">
      <c r="A33">
        <v>14225</v>
      </c>
      <c r="B33" s="153" t="s">
        <v>110</v>
      </c>
      <c r="C33" s="153" t="s">
        <v>87</v>
      </c>
      <c r="D33" s="153" t="s">
        <v>168</v>
      </c>
      <c r="E33" s="153" t="s">
        <v>169</v>
      </c>
      <c r="F33" t="s">
        <v>258</v>
      </c>
    </row>
    <row r="34" spans="1:6" x14ac:dyDescent="0.25">
      <c r="A34">
        <v>14225</v>
      </c>
      <c r="B34" s="153" t="s">
        <v>110</v>
      </c>
      <c r="C34" s="153" t="s">
        <v>87</v>
      </c>
      <c r="D34" s="153" t="s">
        <v>170</v>
      </c>
      <c r="E34" s="153" t="s">
        <v>171</v>
      </c>
      <c r="F34" t="s">
        <v>258</v>
      </c>
    </row>
    <row r="35" spans="1:6" x14ac:dyDescent="0.25">
      <c r="A35">
        <v>14225</v>
      </c>
      <c r="B35" s="153" t="s">
        <v>110</v>
      </c>
      <c r="C35" s="153" t="s">
        <v>87</v>
      </c>
      <c r="D35" s="153" t="s">
        <v>172</v>
      </c>
      <c r="E35" s="153" t="s">
        <v>173</v>
      </c>
      <c r="F35" t="s">
        <v>258</v>
      </c>
    </row>
    <row r="36" spans="1:6" x14ac:dyDescent="0.25">
      <c r="A36">
        <v>14227</v>
      </c>
      <c r="B36" s="153" t="s">
        <v>95</v>
      </c>
      <c r="C36" s="153" t="s">
        <v>87</v>
      </c>
      <c r="D36" s="153" t="s">
        <v>497</v>
      </c>
      <c r="E36" s="153" t="s">
        <v>498</v>
      </c>
      <c r="F36" t="s">
        <v>258</v>
      </c>
    </row>
    <row r="37" spans="1:6" x14ac:dyDescent="0.25">
      <c r="A37">
        <v>14229</v>
      </c>
      <c r="B37" s="153" t="s">
        <v>86</v>
      </c>
      <c r="C37" s="153" t="s">
        <v>87</v>
      </c>
      <c r="D37" s="153" t="s">
        <v>174</v>
      </c>
      <c r="E37" s="153" t="s">
        <v>175</v>
      </c>
      <c r="F37" t="s">
        <v>258</v>
      </c>
    </row>
    <row r="38" spans="1:6" x14ac:dyDescent="0.25">
      <c r="A38">
        <v>14306</v>
      </c>
      <c r="B38" s="153" t="s">
        <v>96</v>
      </c>
      <c r="C38" s="153" t="s">
        <v>87</v>
      </c>
      <c r="D38" s="153" t="s">
        <v>513</v>
      </c>
      <c r="E38" s="153" t="s">
        <v>514</v>
      </c>
      <c r="F38" t="s">
        <v>258</v>
      </c>
    </row>
    <row r="39" spans="1:6" x14ac:dyDescent="0.25">
      <c r="A39">
        <v>14305</v>
      </c>
      <c r="B39" s="153" t="s">
        <v>88</v>
      </c>
      <c r="C39" s="153" t="s">
        <v>87</v>
      </c>
      <c r="D39" s="153" t="s">
        <v>499</v>
      </c>
      <c r="E39" s="153" t="s">
        <v>500</v>
      </c>
      <c r="F39" t="s">
        <v>258</v>
      </c>
    </row>
    <row r="40" spans="1:6" x14ac:dyDescent="0.25">
      <c r="A40">
        <v>14305</v>
      </c>
      <c r="B40" s="153" t="s">
        <v>88</v>
      </c>
      <c r="C40" s="153" t="s">
        <v>87</v>
      </c>
      <c r="D40" s="153" t="s">
        <v>176</v>
      </c>
      <c r="E40" s="153" t="s">
        <v>177</v>
      </c>
      <c r="F40" t="s">
        <v>258</v>
      </c>
    </row>
    <row r="41" spans="1:6" x14ac:dyDescent="0.25">
      <c r="A41">
        <v>14338</v>
      </c>
      <c r="B41" s="153" t="s">
        <v>112</v>
      </c>
      <c r="C41" s="153" t="s">
        <v>87</v>
      </c>
      <c r="D41" s="153" t="s">
        <v>501</v>
      </c>
      <c r="E41" s="153" t="s">
        <v>502</v>
      </c>
      <c r="F41" t="s">
        <v>258</v>
      </c>
    </row>
    <row r="42" spans="1:6" x14ac:dyDescent="0.25">
      <c r="A42">
        <v>14409</v>
      </c>
      <c r="B42" s="153" t="s">
        <v>113</v>
      </c>
      <c r="C42" s="153" t="s">
        <v>87</v>
      </c>
      <c r="D42" s="153" t="s">
        <v>180</v>
      </c>
      <c r="E42" s="153" t="s">
        <v>181</v>
      </c>
      <c r="F42" t="s">
        <v>258</v>
      </c>
    </row>
    <row r="43" spans="1:6" x14ac:dyDescent="0.25">
      <c r="A43">
        <v>14409</v>
      </c>
      <c r="B43" s="153" t="s">
        <v>113</v>
      </c>
      <c r="C43" s="153" t="s">
        <v>87</v>
      </c>
      <c r="D43" s="153" t="s">
        <v>182</v>
      </c>
      <c r="E43" s="153" t="s">
        <v>183</v>
      </c>
      <c r="F43" t="s">
        <v>258</v>
      </c>
    </row>
    <row r="44" spans="1:6" x14ac:dyDescent="0.25">
      <c r="A44">
        <v>14530</v>
      </c>
      <c r="B44" s="153" t="s">
        <v>114</v>
      </c>
      <c r="C44" s="153" t="s">
        <v>87</v>
      </c>
      <c r="D44" s="153" t="s">
        <v>184</v>
      </c>
      <c r="E44" s="153" t="s">
        <v>185</v>
      </c>
      <c r="F44" t="s">
        <v>258</v>
      </c>
    </row>
    <row r="45" spans="1:6" x14ac:dyDescent="0.25">
      <c r="A45">
        <v>14550</v>
      </c>
      <c r="B45" s="153" t="s">
        <v>89</v>
      </c>
      <c r="C45" s="153" t="s">
        <v>87</v>
      </c>
      <c r="D45" s="153" t="s">
        <v>186</v>
      </c>
      <c r="E45" s="153" t="s">
        <v>187</v>
      </c>
      <c r="F45" t="s">
        <v>258</v>
      </c>
    </row>
    <row r="46" spans="1:6" x14ac:dyDescent="0.25">
      <c r="A46">
        <v>14660</v>
      </c>
      <c r="B46" s="153" t="s">
        <v>116</v>
      </c>
      <c r="C46" s="153" t="s">
        <v>87</v>
      </c>
      <c r="D46" s="153" t="s">
        <v>188</v>
      </c>
      <c r="E46" s="153" t="s">
        <v>189</v>
      </c>
      <c r="F46" t="s">
        <v>258</v>
      </c>
    </row>
    <row r="47" spans="1:6" x14ac:dyDescent="0.25">
      <c r="A47">
        <v>14665</v>
      </c>
      <c r="B47" s="153" t="s">
        <v>90</v>
      </c>
      <c r="C47" s="153" t="s">
        <v>87</v>
      </c>
      <c r="D47" s="153" t="s">
        <v>190</v>
      </c>
      <c r="E47" s="153" t="s">
        <v>191</v>
      </c>
      <c r="F47" t="s">
        <v>258</v>
      </c>
    </row>
    <row r="48" spans="1:6" x14ac:dyDescent="0.25">
      <c r="A48">
        <v>14724</v>
      </c>
      <c r="B48" s="153" t="s">
        <v>117</v>
      </c>
      <c r="C48" s="153" t="s">
        <v>87</v>
      </c>
      <c r="D48" s="153" t="s">
        <v>192</v>
      </c>
      <c r="E48" s="153" t="s">
        <v>193</v>
      </c>
      <c r="F48" t="s">
        <v>258</v>
      </c>
    </row>
    <row r="49" spans="1:7" x14ac:dyDescent="0.25">
      <c r="A49">
        <v>14743</v>
      </c>
      <c r="B49" s="153" t="s">
        <v>136</v>
      </c>
      <c r="C49" s="153" t="s">
        <v>87</v>
      </c>
      <c r="D49" s="153" t="s">
        <v>194</v>
      </c>
      <c r="E49" s="153" t="s">
        <v>195</v>
      </c>
      <c r="F49" t="s">
        <v>258</v>
      </c>
    </row>
    <row r="50" spans="1:7" x14ac:dyDescent="0.25">
      <c r="A50">
        <v>14009</v>
      </c>
      <c r="B50" s="153" t="s">
        <v>105</v>
      </c>
      <c r="C50" s="153" t="s">
        <v>85</v>
      </c>
      <c r="D50" s="153" t="s">
        <v>214</v>
      </c>
      <c r="E50" s="153" t="s">
        <v>215</v>
      </c>
      <c r="F50" t="s">
        <v>258</v>
      </c>
      <c r="G50" t="s">
        <v>422</v>
      </c>
    </row>
    <row r="51" spans="1:7" x14ac:dyDescent="0.25">
      <c r="A51">
        <v>14012</v>
      </c>
      <c r="B51" s="153" t="s">
        <v>84</v>
      </c>
      <c r="C51" s="153" t="s">
        <v>85</v>
      </c>
      <c r="D51" s="153" t="s">
        <v>423</v>
      </c>
      <c r="E51" s="153" t="s">
        <v>424</v>
      </c>
      <c r="F51" t="s">
        <v>258</v>
      </c>
      <c r="G51" t="s">
        <v>425</v>
      </c>
    </row>
    <row r="52" spans="1:7" x14ac:dyDescent="0.25">
      <c r="A52">
        <v>14012</v>
      </c>
      <c r="B52" s="153" t="s">
        <v>84</v>
      </c>
      <c r="C52" s="153" t="s">
        <v>85</v>
      </c>
      <c r="D52" s="153" t="s">
        <v>259</v>
      </c>
      <c r="E52" s="153" t="s">
        <v>260</v>
      </c>
      <c r="F52" t="s">
        <v>258</v>
      </c>
      <c r="G52" t="s">
        <v>422</v>
      </c>
    </row>
    <row r="53" spans="1:7" x14ac:dyDescent="0.25">
      <c r="A53">
        <v>14012</v>
      </c>
      <c r="B53" s="153" t="s">
        <v>84</v>
      </c>
      <c r="C53" s="153" t="s">
        <v>85</v>
      </c>
      <c r="D53" s="153" t="s">
        <v>261</v>
      </c>
      <c r="E53" s="153" t="s">
        <v>262</v>
      </c>
      <c r="F53" t="s">
        <v>258</v>
      </c>
      <c r="G53" t="s">
        <v>426</v>
      </c>
    </row>
    <row r="54" spans="1:7" x14ac:dyDescent="0.25">
      <c r="A54">
        <v>14012</v>
      </c>
      <c r="B54" s="153" t="s">
        <v>84</v>
      </c>
      <c r="C54" s="153" t="s">
        <v>85</v>
      </c>
      <c r="D54" s="153" t="s">
        <v>263</v>
      </c>
      <c r="E54" s="153" t="s">
        <v>264</v>
      </c>
      <c r="F54" t="s">
        <v>258</v>
      </c>
      <c r="G54" t="s">
        <v>426</v>
      </c>
    </row>
    <row r="55" spans="1:7" x14ac:dyDescent="0.25">
      <c r="A55">
        <v>14024</v>
      </c>
      <c r="B55" s="153" t="s">
        <v>106</v>
      </c>
      <c r="C55" s="153" t="s">
        <v>85</v>
      </c>
      <c r="D55" s="153" t="s">
        <v>265</v>
      </c>
      <c r="E55" s="153" t="s">
        <v>266</v>
      </c>
      <c r="F55" t="s">
        <v>258</v>
      </c>
      <c r="G55" t="s">
        <v>422</v>
      </c>
    </row>
    <row r="56" spans="1:7" x14ac:dyDescent="0.25">
      <c r="A56">
        <v>14024</v>
      </c>
      <c r="B56" s="153" t="s">
        <v>106</v>
      </c>
      <c r="C56" s="153" t="s">
        <v>85</v>
      </c>
      <c r="D56" s="153" t="s">
        <v>216</v>
      </c>
      <c r="E56" s="153" t="s">
        <v>217</v>
      </c>
      <c r="F56" t="s">
        <v>258</v>
      </c>
      <c r="G56" t="s">
        <v>422</v>
      </c>
    </row>
    <row r="57" spans="1:7" x14ac:dyDescent="0.25">
      <c r="A57">
        <v>14045</v>
      </c>
      <c r="B57" s="153" t="s">
        <v>99</v>
      </c>
      <c r="C57" s="153" t="s">
        <v>85</v>
      </c>
      <c r="D57" s="153" t="s">
        <v>427</v>
      </c>
      <c r="E57" s="153" t="s">
        <v>428</v>
      </c>
      <c r="F57" t="s">
        <v>258</v>
      </c>
      <c r="G57" t="s">
        <v>425</v>
      </c>
    </row>
    <row r="58" spans="1:7" x14ac:dyDescent="0.25">
      <c r="A58">
        <v>14045</v>
      </c>
      <c r="B58" s="153" t="s">
        <v>99</v>
      </c>
      <c r="C58" s="153" t="s">
        <v>85</v>
      </c>
      <c r="D58" s="153" t="s">
        <v>269</v>
      </c>
      <c r="E58" s="153" t="s">
        <v>270</v>
      </c>
      <c r="F58" t="s">
        <v>258</v>
      </c>
      <c r="G58" t="s">
        <v>425</v>
      </c>
    </row>
    <row r="59" spans="1:7" x14ac:dyDescent="0.25">
      <c r="A59">
        <v>14045</v>
      </c>
      <c r="B59" s="153" t="s">
        <v>99</v>
      </c>
      <c r="C59" s="153" t="s">
        <v>85</v>
      </c>
      <c r="D59" s="153" t="s">
        <v>429</v>
      </c>
      <c r="E59" s="153" t="s">
        <v>430</v>
      </c>
      <c r="F59" t="s">
        <v>258</v>
      </c>
      <c r="G59" t="s">
        <v>425</v>
      </c>
    </row>
    <row r="60" spans="1:7" x14ac:dyDescent="0.25">
      <c r="A60">
        <v>14045</v>
      </c>
      <c r="B60" s="153" t="s">
        <v>99</v>
      </c>
      <c r="C60" s="153" t="s">
        <v>85</v>
      </c>
      <c r="D60" s="153" t="s">
        <v>431</v>
      </c>
      <c r="E60" s="153" t="s">
        <v>432</v>
      </c>
      <c r="F60" t="s">
        <v>258</v>
      </c>
      <c r="G60" t="s">
        <v>425</v>
      </c>
    </row>
    <row r="61" spans="1:7" x14ac:dyDescent="0.25">
      <c r="A61">
        <v>14046</v>
      </c>
      <c r="B61" s="153" t="s">
        <v>107</v>
      </c>
      <c r="C61" s="153" t="s">
        <v>85</v>
      </c>
      <c r="D61" s="153" t="s">
        <v>271</v>
      </c>
      <c r="E61" s="153" t="s">
        <v>272</v>
      </c>
      <c r="F61" t="s">
        <v>258</v>
      </c>
      <c r="G61" t="s">
        <v>422</v>
      </c>
    </row>
    <row r="62" spans="1:7" x14ac:dyDescent="0.25">
      <c r="A62">
        <v>14046</v>
      </c>
      <c r="B62" s="153" t="s">
        <v>107</v>
      </c>
      <c r="C62" s="153" t="s">
        <v>85</v>
      </c>
      <c r="D62" s="153" t="s">
        <v>273</v>
      </c>
      <c r="E62" s="153" t="s">
        <v>274</v>
      </c>
      <c r="F62" t="s">
        <v>258</v>
      </c>
      <c r="G62" t="s">
        <v>426</v>
      </c>
    </row>
    <row r="63" spans="1:7" x14ac:dyDescent="0.25">
      <c r="A63">
        <v>14046</v>
      </c>
      <c r="B63" s="153" t="s">
        <v>107</v>
      </c>
      <c r="C63" s="153" t="s">
        <v>85</v>
      </c>
      <c r="D63" s="153" t="s">
        <v>275</v>
      </c>
      <c r="E63" s="153" t="s">
        <v>276</v>
      </c>
      <c r="F63" t="s">
        <v>258</v>
      </c>
      <c r="G63" t="s">
        <v>426</v>
      </c>
    </row>
    <row r="64" spans="1:7" x14ac:dyDescent="0.25">
      <c r="A64">
        <v>14046</v>
      </c>
      <c r="B64" s="153" t="s">
        <v>107</v>
      </c>
      <c r="C64" s="153" t="s">
        <v>85</v>
      </c>
      <c r="D64" s="153" t="s">
        <v>534</v>
      </c>
      <c r="E64" s="153" t="s">
        <v>535</v>
      </c>
      <c r="F64" t="s">
        <v>258</v>
      </c>
      <c r="G64" t="s">
        <v>426</v>
      </c>
    </row>
    <row r="65" spans="1:7" x14ac:dyDescent="0.25">
      <c r="A65">
        <v>14046</v>
      </c>
      <c r="B65" s="153" t="s">
        <v>107</v>
      </c>
      <c r="C65" s="153" t="s">
        <v>85</v>
      </c>
      <c r="D65" s="153" t="s">
        <v>279</v>
      </c>
      <c r="E65" s="153" t="s">
        <v>280</v>
      </c>
      <c r="F65" t="s">
        <v>258</v>
      </c>
      <c r="G65" t="s">
        <v>426</v>
      </c>
    </row>
    <row r="66" spans="1:7" x14ac:dyDescent="0.25">
      <c r="A66">
        <v>14231</v>
      </c>
      <c r="B66" s="153" t="s">
        <v>100</v>
      </c>
      <c r="C66" s="153" t="s">
        <v>85</v>
      </c>
      <c r="D66" s="153" t="s">
        <v>281</v>
      </c>
      <c r="E66" s="153" t="s">
        <v>282</v>
      </c>
      <c r="F66" t="s">
        <v>258</v>
      </c>
      <c r="G66" t="s">
        <v>422</v>
      </c>
    </row>
    <row r="67" spans="1:7" x14ac:dyDescent="0.25">
      <c r="A67">
        <v>14070</v>
      </c>
      <c r="B67" s="153" t="s">
        <v>101</v>
      </c>
      <c r="C67" s="153" t="s">
        <v>85</v>
      </c>
      <c r="D67" s="153" t="s">
        <v>283</v>
      </c>
      <c r="E67" s="153" t="s">
        <v>284</v>
      </c>
      <c r="F67" t="s">
        <v>258</v>
      </c>
      <c r="G67" t="s">
        <v>426</v>
      </c>
    </row>
    <row r="68" spans="1:7" x14ac:dyDescent="0.25">
      <c r="A68">
        <v>14070</v>
      </c>
      <c r="B68" s="153" t="s">
        <v>101</v>
      </c>
      <c r="C68" s="153" t="s">
        <v>85</v>
      </c>
      <c r="D68" s="153" t="s">
        <v>285</v>
      </c>
      <c r="E68" s="153" t="s">
        <v>286</v>
      </c>
      <c r="F68" t="s">
        <v>258</v>
      </c>
      <c r="G68" t="s">
        <v>422</v>
      </c>
    </row>
    <row r="69" spans="1:7" x14ac:dyDescent="0.25">
      <c r="A69">
        <v>14106</v>
      </c>
      <c r="B69" s="153" t="s">
        <v>108</v>
      </c>
      <c r="C69" s="153" t="s">
        <v>85</v>
      </c>
      <c r="D69" s="153" t="s">
        <v>287</v>
      </c>
      <c r="E69" s="153" t="s">
        <v>288</v>
      </c>
      <c r="F69" t="s">
        <v>258</v>
      </c>
      <c r="G69" t="s">
        <v>425</v>
      </c>
    </row>
    <row r="70" spans="1:7" x14ac:dyDescent="0.25">
      <c r="A70">
        <v>14110</v>
      </c>
      <c r="B70" s="153" t="s">
        <v>102</v>
      </c>
      <c r="C70" s="153" t="s">
        <v>85</v>
      </c>
      <c r="D70" s="153" t="s">
        <v>289</v>
      </c>
      <c r="E70" s="153" t="s">
        <v>290</v>
      </c>
      <c r="F70" t="s">
        <v>258</v>
      </c>
      <c r="G70" t="s">
        <v>422</v>
      </c>
    </row>
    <row r="71" spans="1:7" x14ac:dyDescent="0.25">
      <c r="A71">
        <v>14110</v>
      </c>
      <c r="B71" s="153" t="s">
        <v>102</v>
      </c>
      <c r="C71" s="153" t="s">
        <v>85</v>
      </c>
      <c r="D71" s="153" t="s">
        <v>291</v>
      </c>
      <c r="E71" s="153" t="s">
        <v>292</v>
      </c>
      <c r="F71" t="s">
        <v>258</v>
      </c>
      <c r="G71" t="s">
        <v>422</v>
      </c>
    </row>
    <row r="72" spans="1:7" x14ac:dyDescent="0.25">
      <c r="A72">
        <v>14110</v>
      </c>
      <c r="B72" s="153" t="s">
        <v>102</v>
      </c>
      <c r="C72" s="153" t="s">
        <v>85</v>
      </c>
      <c r="D72" s="153" t="s">
        <v>293</v>
      </c>
      <c r="E72" s="153" t="s">
        <v>294</v>
      </c>
      <c r="F72" t="s">
        <v>258</v>
      </c>
      <c r="G72" t="s">
        <v>422</v>
      </c>
    </row>
    <row r="73" spans="1:7" x14ac:dyDescent="0.25">
      <c r="A73">
        <v>14117</v>
      </c>
      <c r="B73" s="153" t="s">
        <v>109</v>
      </c>
      <c r="C73" s="153" t="s">
        <v>85</v>
      </c>
      <c r="D73" s="153" t="s">
        <v>505</v>
      </c>
      <c r="E73" s="153" t="s">
        <v>506</v>
      </c>
      <c r="F73" t="s">
        <v>258</v>
      </c>
      <c r="G73" t="s">
        <v>422</v>
      </c>
    </row>
    <row r="74" spans="1:7" x14ac:dyDescent="0.25">
      <c r="A74">
        <v>14117</v>
      </c>
      <c r="B74" s="153" t="s">
        <v>109</v>
      </c>
      <c r="C74" s="153" t="s">
        <v>85</v>
      </c>
      <c r="D74" s="153" t="s">
        <v>297</v>
      </c>
      <c r="E74" s="153" t="s">
        <v>298</v>
      </c>
      <c r="F74" t="s">
        <v>258</v>
      </c>
      <c r="G74" t="s">
        <v>422</v>
      </c>
    </row>
    <row r="75" spans="1:7" x14ac:dyDescent="0.25">
      <c r="A75">
        <v>14117</v>
      </c>
      <c r="B75" s="153" t="s">
        <v>109</v>
      </c>
      <c r="C75" s="153" t="s">
        <v>85</v>
      </c>
      <c r="D75" s="153" t="s">
        <v>536</v>
      </c>
      <c r="E75" s="153" t="s">
        <v>537</v>
      </c>
      <c r="F75" t="s">
        <v>258</v>
      </c>
      <c r="G75" t="s">
        <v>425</v>
      </c>
    </row>
    <row r="76" spans="1:7" x14ac:dyDescent="0.25">
      <c r="A76">
        <v>14198</v>
      </c>
      <c r="B76" s="153" t="s">
        <v>93</v>
      </c>
      <c r="C76" s="153" t="s">
        <v>85</v>
      </c>
      <c r="D76" s="153" t="s">
        <v>299</v>
      </c>
      <c r="E76" s="153" t="s">
        <v>300</v>
      </c>
      <c r="F76" t="s">
        <v>258</v>
      </c>
      <c r="G76" t="s">
        <v>425</v>
      </c>
    </row>
    <row r="77" spans="1:7" x14ac:dyDescent="0.25">
      <c r="A77">
        <v>14203</v>
      </c>
      <c r="B77" s="153" t="s">
        <v>94</v>
      </c>
      <c r="C77" s="153" t="s">
        <v>85</v>
      </c>
      <c r="D77" s="153" t="s">
        <v>301</v>
      </c>
      <c r="E77" s="153" t="s">
        <v>302</v>
      </c>
      <c r="F77" t="s">
        <v>258</v>
      </c>
      <c r="G77" t="s">
        <v>425</v>
      </c>
    </row>
    <row r="78" spans="1:7" x14ac:dyDescent="0.25">
      <c r="A78">
        <v>14225</v>
      </c>
      <c r="B78" s="153" t="s">
        <v>110</v>
      </c>
      <c r="C78" s="153" t="s">
        <v>85</v>
      </c>
      <c r="D78" s="153" t="s">
        <v>517</v>
      </c>
      <c r="E78" s="153" t="s">
        <v>518</v>
      </c>
      <c r="F78" t="s">
        <v>258</v>
      </c>
      <c r="G78" t="s">
        <v>422</v>
      </c>
    </row>
    <row r="79" spans="1:7" x14ac:dyDescent="0.25">
      <c r="A79">
        <v>14225</v>
      </c>
      <c r="B79" s="153" t="s">
        <v>110</v>
      </c>
      <c r="C79" s="153" t="s">
        <v>85</v>
      </c>
      <c r="D79" s="153" t="s">
        <v>305</v>
      </c>
      <c r="E79" s="153" t="s">
        <v>306</v>
      </c>
      <c r="F79" t="s">
        <v>258</v>
      </c>
      <c r="G79" t="s">
        <v>426</v>
      </c>
    </row>
    <row r="80" spans="1:7" x14ac:dyDescent="0.25">
      <c r="A80">
        <v>14225</v>
      </c>
      <c r="B80" s="153" t="s">
        <v>110</v>
      </c>
      <c r="C80" s="153" t="s">
        <v>85</v>
      </c>
      <c r="D80" s="153" t="s">
        <v>309</v>
      </c>
      <c r="E80" s="153" t="s">
        <v>310</v>
      </c>
      <c r="F80" t="s">
        <v>258</v>
      </c>
      <c r="G80" t="s">
        <v>426</v>
      </c>
    </row>
    <row r="81" spans="1:7" x14ac:dyDescent="0.25">
      <c r="A81">
        <v>14227</v>
      </c>
      <c r="B81" s="153" t="s">
        <v>95</v>
      </c>
      <c r="C81" s="153" t="s">
        <v>85</v>
      </c>
      <c r="D81" s="153" t="s">
        <v>311</v>
      </c>
      <c r="E81" s="153" t="s">
        <v>312</v>
      </c>
      <c r="F81" t="s">
        <v>258</v>
      </c>
      <c r="G81" t="s">
        <v>425</v>
      </c>
    </row>
    <row r="82" spans="1:7" x14ac:dyDescent="0.25">
      <c r="A82">
        <v>14227</v>
      </c>
      <c r="B82" s="153" t="s">
        <v>95</v>
      </c>
      <c r="C82" s="153" t="s">
        <v>85</v>
      </c>
      <c r="D82" s="153" t="s">
        <v>313</v>
      </c>
      <c r="E82" s="153" t="s">
        <v>314</v>
      </c>
      <c r="F82" t="s">
        <v>258</v>
      </c>
      <c r="G82" t="s">
        <v>425</v>
      </c>
    </row>
    <row r="83" spans="1:7" x14ac:dyDescent="0.25">
      <c r="A83">
        <v>14227</v>
      </c>
      <c r="B83" s="153" t="s">
        <v>95</v>
      </c>
      <c r="C83" s="153" t="s">
        <v>85</v>
      </c>
      <c r="D83" s="153" t="s">
        <v>315</v>
      </c>
      <c r="E83" s="153" t="s">
        <v>316</v>
      </c>
      <c r="F83" t="s">
        <v>258</v>
      </c>
      <c r="G83" t="s">
        <v>425</v>
      </c>
    </row>
    <row r="84" spans="1:7" x14ac:dyDescent="0.25">
      <c r="A84">
        <v>14229</v>
      </c>
      <c r="B84" s="153" t="s">
        <v>86</v>
      </c>
      <c r="C84" s="153" t="s">
        <v>85</v>
      </c>
      <c r="D84" s="153" t="s">
        <v>232</v>
      </c>
      <c r="E84" s="153" t="s">
        <v>233</v>
      </c>
      <c r="F84" t="s">
        <v>258</v>
      </c>
      <c r="G84" t="s">
        <v>426</v>
      </c>
    </row>
    <row r="85" spans="1:7" x14ac:dyDescent="0.25">
      <c r="A85">
        <v>14229</v>
      </c>
      <c r="B85" s="153" t="s">
        <v>86</v>
      </c>
      <c r="C85" s="153" t="s">
        <v>85</v>
      </c>
      <c r="D85" s="153" t="s">
        <v>234</v>
      </c>
      <c r="E85" s="153" t="s">
        <v>235</v>
      </c>
      <c r="F85" t="s">
        <v>258</v>
      </c>
      <c r="G85" t="s">
        <v>426</v>
      </c>
    </row>
    <row r="86" spans="1:7" x14ac:dyDescent="0.25">
      <c r="A86">
        <v>14229</v>
      </c>
      <c r="B86" s="153" t="s">
        <v>86</v>
      </c>
      <c r="C86" s="153" t="s">
        <v>85</v>
      </c>
      <c r="D86" s="153" t="s">
        <v>319</v>
      </c>
      <c r="E86" s="153" t="s">
        <v>320</v>
      </c>
      <c r="F86" t="s">
        <v>258</v>
      </c>
      <c r="G86" t="s">
        <v>422</v>
      </c>
    </row>
    <row r="87" spans="1:7" x14ac:dyDescent="0.25">
      <c r="A87">
        <v>14229</v>
      </c>
      <c r="B87" s="153" t="s">
        <v>86</v>
      </c>
      <c r="C87" s="153" t="s">
        <v>85</v>
      </c>
      <c r="D87" s="153" t="s">
        <v>319</v>
      </c>
      <c r="E87" s="153" t="s">
        <v>320</v>
      </c>
      <c r="F87" t="s">
        <v>258</v>
      </c>
      <c r="G87" t="s">
        <v>422</v>
      </c>
    </row>
    <row r="88" spans="1:7" x14ac:dyDescent="0.25">
      <c r="A88">
        <v>14229</v>
      </c>
      <c r="B88" s="153" t="s">
        <v>86</v>
      </c>
      <c r="C88" s="153" t="s">
        <v>85</v>
      </c>
      <c r="D88" s="153" t="s">
        <v>321</v>
      </c>
      <c r="E88" s="153" t="s">
        <v>322</v>
      </c>
      <c r="F88" t="s">
        <v>258</v>
      </c>
      <c r="G88" t="s">
        <v>422</v>
      </c>
    </row>
    <row r="89" spans="1:7" x14ac:dyDescent="0.25">
      <c r="A89">
        <v>14229</v>
      </c>
      <c r="B89" s="153" t="s">
        <v>86</v>
      </c>
      <c r="C89" s="153" t="s">
        <v>85</v>
      </c>
      <c r="D89" s="153" t="s">
        <v>222</v>
      </c>
      <c r="E89" s="153" t="s">
        <v>223</v>
      </c>
      <c r="F89" t="s">
        <v>258</v>
      </c>
      <c r="G89" t="s">
        <v>422</v>
      </c>
    </row>
    <row r="90" spans="1:7" x14ac:dyDescent="0.25">
      <c r="A90">
        <v>14229</v>
      </c>
      <c r="B90" s="153" t="s">
        <v>86</v>
      </c>
      <c r="C90" s="153" t="s">
        <v>85</v>
      </c>
      <c r="D90" s="153" t="s">
        <v>325</v>
      </c>
      <c r="E90" s="153" t="s">
        <v>326</v>
      </c>
      <c r="F90" t="s">
        <v>258</v>
      </c>
      <c r="G90" t="s">
        <v>426</v>
      </c>
    </row>
    <row r="91" spans="1:7" x14ac:dyDescent="0.25">
      <c r="A91">
        <v>14229</v>
      </c>
      <c r="B91" s="153" t="s">
        <v>86</v>
      </c>
      <c r="C91" s="153" t="s">
        <v>85</v>
      </c>
      <c r="D91" s="153" t="s">
        <v>433</v>
      </c>
      <c r="E91" s="153" t="s">
        <v>434</v>
      </c>
      <c r="F91" t="s">
        <v>258</v>
      </c>
      <c r="G91" t="s">
        <v>426</v>
      </c>
    </row>
    <row r="92" spans="1:7" x14ac:dyDescent="0.25">
      <c r="A92">
        <v>14229</v>
      </c>
      <c r="B92" s="153" t="s">
        <v>86</v>
      </c>
      <c r="C92" s="153" t="s">
        <v>85</v>
      </c>
      <c r="D92" s="153" t="s">
        <v>329</v>
      </c>
      <c r="E92" s="153" t="s">
        <v>330</v>
      </c>
      <c r="F92" t="s">
        <v>258</v>
      </c>
      <c r="G92" t="s">
        <v>426</v>
      </c>
    </row>
    <row r="93" spans="1:7" x14ac:dyDescent="0.25">
      <c r="A93">
        <v>14306</v>
      </c>
      <c r="B93" s="153" t="s">
        <v>96</v>
      </c>
      <c r="C93" s="153" t="s">
        <v>85</v>
      </c>
      <c r="D93" s="153" t="s">
        <v>331</v>
      </c>
      <c r="E93" s="153" t="s">
        <v>332</v>
      </c>
      <c r="F93" t="s">
        <v>258</v>
      </c>
      <c r="G93" t="s">
        <v>425</v>
      </c>
    </row>
    <row r="94" spans="1:7" x14ac:dyDescent="0.25">
      <c r="A94">
        <v>14306</v>
      </c>
      <c r="B94" s="153" t="s">
        <v>96</v>
      </c>
      <c r="C94" s="153" t="s">
        <v>85</v>
      </c>
      <c r="D94" s="153" t="s">
        <v>220</v>
      </c>
      <c r="E94" s="153" t="s">
        <v>221</v>
      </c>
      <c r="F94" t="s">
        <v>258</v>
      </c>
      <c r="G94" t="s">
        <v>422</v>
      </c>
    </row>
    <row r="95" spans="1:7" x14ac:dyDescent="0.25">
      <c r="A95">
        <v>14306</v>
      </c>
      <c r="B95" s="153" t="s">
        <v>96</v>
      </c>
      <c r="C95" s="153" t="s">
        <v>85</v>
      </c>
      <c r="D95" s="153" t="s">
        <v>206</v>
      </c>
      <c r="E95" s="153" t="s">
        <v>207</v>
      </c>
      <c r="F95" t="s">
        <v>258</v>
      </c>
      <c r="G95" t="s">
        <v>425</v>
      </c>
    </row>
    <row r="96" spans="1:7" x14ac:dyDescent="0.25">
      <c r="A96">
        <v>14305</v>
      </c>
      <c r="B96" s="153" t="s">
        <v>88</v>
      </c>
      <c r="C96" s="153" t="s">
        <v>85</v>
      </c>
      <c r="D96" s="153" t="s">
        <v>487</v>
      </c>
      <c r="E96" s="153" t="s">
        <v>488</v>
      </c>
      <c r="F96" t="s">
        <v>258</v>
      </c>
      <c r="G96" t="s">
        <v>425</v>
      </c>
    </row>
    <row r="97" spans="1:7" x14ac:dyDescent="0.25">
      <c r="A97">
        <v>14305</v>
      </c>
      <c r="B97" s="153" t="s">
        <v>88</v>
      </c>
      <c r="C97" s="153" t="s">
        <v>85</v>
      </c>
      <c r="D97" s="153" t="s">
        <v>489</v>
      </c>
      <c r="E97" s="153" t="s">
        <v>490</v>
      </c>
      <c r="F97" t="s">
        <v>258</v>
      </c>
      <c r="G97" t="s">
        <v>425</v>
      </c>
    </row>
    <row r="98" spans="1:7" x14ac:dyDescent="0.25">
      <c r="A98">
        <v>14305</v>
      </c>
      <c r="B98" s="153" t="s">
        <v>88</v>
      </c>
      <c r="C98" s="153" t="s">
        <v>85</v>
      </c>
      <c r="D98" s="153" t="s">
        <v>333</v>
      </c>
      <c r="E98" s="153" t="s">
        <v>334</v>
      </c>
      <c r="F98" t="s">
        <v>258</v>
      </c>
      <c r="G98" t="s">
        <v>426</v>
      </c>
    </row>
    <row r="99" spans="1:7" x14ac:dyDescent="0.25">
      <c r="A99">
        <v>14305</v>
      </c>
      <c r="B99" s="153" t="s">
        <v>88</v>
      </c>
      <c r="C99" s="153" t="s">
        <v>85</v>
      </c>
      <c r="D99" s="153" t="s">
        <v>335</v>
      </c>
      <c r="E99" s="153" t="s">
        <v>336</v>
      </c>
      <c r="F99" t="s">
        <v>258</v>
      </c>
      <c r="G99" t="s">
        <v>425</v>
      </c>
    </row>
    <row r="100" spans="1:7" x14ac:dyDescent="0.25">
      <c r="A100">
        <v>14305</v>
      </c>
      <c r="B100" s="153" t="s">
        <v>88</v>
      </c>
      <c r="C100" s="153" t="s">
        <v>85</v>
      </c>
      <c r="D100" s="153" t="s">
        <v>337</v>
      </c>
      <c r="E100" s="153" t="s">
        <v>338</v>
      </c>
      <c r="F100" t="s">
        <v>258</v>
      </c>
      <c r="G100" t="s">
        <v>425</v>
      </c>
    </row>
    <row r="101" spans="1:7" x14ac:dyDescent="0.25">
      <c r="A101">
        <v>14305</v>
      </c>
      <c r="B101" s="153" t="s">
        <v>88</v>
      </c>
      <c r="C101" s="153" t="s">
        <v>85</v>
      </c>
      <c r="D101" s="153" t="s">
        <v>339</v>
      </c>
      <c r="E101" s="153" t="s">
        <v>340</v>
      </c>
      <c r="F101" t="s">
        <v>258</v>
      </c>
      <c r="G101" t="s">
        <v>425</v>
      </c>
    </row>
    <row r="102" spans="1:7" x14ac:dyDescent="0.25">
      <c r="A102">
        <v>14305</v>
      </c>
      <c r="B102" s="153" t="s">
        <v>88</v>
      </c>
      <c r="C102" s="153" t="s">
        <v>85</v>
      </c>
      <c r="D102" s="153" t="s">
        <v>341</v>
      </c>
      <c r="E102" s="153" t="s">
        <v>342</v>
      </c>
      <c r="F102" t="s">
        <v>258</v>
      </c>
      <c r="G102" t="s">
        <v>425</v>
      </c>
    </row>
    <row r="103" spans="1:7" x14ac:dyDescent="0.25">
      <c r="A103">
        <v>14305</v>
      </c>
      <c r="B103" s="153" t="s">
        <v>88</v>
      </c>
      <c r="C103" s="153" t="s">
        <v>85</v>
      </c>
      <c r="D103" s="153" t="s">
        <v>208</v>
      </c>
      <c r="E103" s="153" t="s">
        <v>209</v>
      </c>
      <c r="F103" t="s">
        <v>258</v>
      </c>
      <c r="G103" t="s">
        <v>425</v>
      </c>
    </row>
    <row r="104" spans="1:7" x14ac:dyDescent="0.25">
      <c r="A104">
        <v>14305</v>
      </c>
      <c r="B104" s="153" t="s">
        <v>88</v>
      </c>
      <c r="C104" s="153" t="s">
        <v>85</v>
      </c>
      <c r="D104" s="153" t="s">
        <v>210</v>
      </c>
      <c r="E104" s="153" t="s">
        <v>211</v>
      </c>
      <c r="F104" t="s">
        <v>258</v>
      </c>
      <c r="G104" t="s">
        <v>425</v>
      </c>
    </row>
    <row r="105" spans="1:7" x14ac:dyDescent="0.25">
      <c r="A105">
        <v>14305</v>
      </c>
      <c r="B105" s="153" t="s">
        <v>88</v>
      </c>
      <c r="C105" s="153" t="s">
        <v>85</v>
      </c>
      <c r="D105" s="153" t="s">
        <v>491</v>
      </c>
      <c r="E105" s="153" t="s">
        <v>492</v>
      </c>
      <c r="F105" t="s">
        <v>258</v>
      </c>
      <c r="G105" t="s">
        <v>425</v>
      </c>
    </row>
    <row r="106" spans="1:7" x14ac:dyDescent="0.25">
      <c r="A106">
        <v>14308</v>
      </c>
      <c r="B106" s="153" t="s">
        <v>97</v>
      </c>
      <c r="C106" s="153" t="s">
        <v>85</v>
      </c>
      <c r="D106" s="153" t="s">
        <v>238</v>
      </c>
      <c r="E106" s="153" t="s">
        <v>239</v>
      </c>
      <c r="F106" t="s">
        <v>258</v>
      </c>
      <c r="G106" t="s">
        <v>426</v>
      </c>
    </row>
    <row r="107" spans="1:7" x14ac:dyDescent="0.25">
      <c r="A107">
        <v>14316</v>
      </c>
      <c r="B107" s="153" t="s">
        <v>98</v>
      </c>
      <c r="C107" s="153" t="s">
        <v>85</v>
      </c>
      <c r="D107" s="153" t="s">
        <v>343</v>
      </c>
      <c r="E107" s="153" t="s">
        <v>344</v>
      </c>
      <c r="F107" t="s">
        <v>258</v>
      </c>
      <c r="G107" t="s">
        <v>425</v>
      </c>
    </row>
    <row r="108" spans="1:7" x14ac:dyDescent="0.25">
      <c r="A108">
        <v>14316</v>
      </c>
      <c r="B108" s="153" t="s">
        <v>98</v>
      </c>
      <c r="C108" s="153" t="s">
        <v>85</v>
      </c>
      <c r="D108" s="153" t="s">
        <v>345</v>
      </c>
      <c r="E108" s="153" t="s">
        <v>346</v>
      </c>
      <c r="F108" t="s">
        <v>258</v>
      </c>
      <c r="G108" t="s">
        <v>426</v>
      </c>
    </row>
    <row r="109" spans="1:7" x14ac:dyDescent="0.25">
      <c r="A109">
        <v>14316</v>
      </c>
      <c r="B109" s="153" t="s">
        <v>98</v>
      </c>
      <c r="C109" s="153" t="s">
        <v>85</v>
      </c>
      <c r="D109" s="153" t="s">
        <v>347</v>
      </c>
      <c r="E109" s="153" t="s">
        <v>348</v>
      </c>
      <c r="F109" t="s">
        <v>258</v>
      </c>
      <c r="G109" t="s">
        <v>426</v>
      </c>
    </row>
    <row r="110" spans="1:7" x14ac:dyDescent="0.25">
      <c r="A110">
        <v>14316</v>
      </c>
      <c r="B110" s="153" t="s">
        <v>98</v>
      </c>
      <c r="C110" s="153" t="s">
        <v>85</v>
      </c>
      <c r="D110" s="153" t="s">
        <v>349</v>
      </c>
      <c r="E110" s="153" t="s">
        <v>350</v>
      </c>
      <c r="F110" t="s">
        <v>258</v>
      </c>
      <c r="G110" t="s">
        <v>426</v>
      </c>
    </row>
    <row r="111" spans="1:7" x14ac:dyDescent="0.25">
      <c r="A111">
        <v>14316</v>
      </c>
      <c r="B111" s="153" t="s">
        <v>98</v>
      </c>
      <c r="C111" s="153" t="s">
        <v>85</v>
      </c>
      <c r="D111" s="153" t="s">
        <v>351</v>
      </c>
      <c r="E111" s="153" t="s">
        <v>352</v>
      </c>
      <c r="F111" t="s">
        <v>258</v>
      </c>
      <c r="G111" t="s">
        <v>426</v>
      </c>
    </row>
    <row r="112" spans="1:7" x14ac:dyDescent="0.25">
      <c r="A112">
        <v>14316</v>
      </c>
      <c r="B112" s="153" t="s">
        <v>98</v>
      </c>
      <c r="C112" s="153" t="s">
        <v>85</v>
      </c>
      <c r="D112" s="153" t="s">
        <v>519</v>
      </c>
      <c r="E112" s="153" t="s">
        <v>520</v>
      </c>
      <c r="F112" t="s">
        <v>258</v>
      </c>
      <c r="G112" t="s">
        <v>425</v>
      </c>
    </row>
    <row r="113" spans="1:7" x14ac:dyDescent="0.25">
      <c r="A113">
        <v>14316</v>
      </c>
      <c r="B113" s="153" t="s">
        <v>98</v>
      </c>
      <c r="C113" s="153" t="s">
        <v>85</v>
      </c>
      <c r="D113" s="153" t="s">
        <v>521</v>
      </c>
      <c r="E113" s="153" t="s">
        <v>522</v>
      </c>
      <c r="F113" t="s">
        <v>258</v>
      </c>
      <c r="G113" t="s">
        <v>426</v>
      </c>
    </row>
    <row r="114" spans="1:7" x14ac:dyDescent="0.25">
      <c r="A114">
        <v>14316</v>
      </c>
      <c r="B114" s="153" t="s">
        <v>98</v>
      </c>
      <c r="C114" s="153" t="s">
        <v>85</v>
      </c>
      <c r="D114" s="153" t="s">
        <v>523</v>
      </c>
      <c r="E114" s="153" t="s">
        <v>524</v>
      </c>
      <c r="F114" t="s">
        <v>258</v>
      </c>
      <c r="G114" t="s">
        <v>426</v>
      </c>
    </row>
    <row r="115" spans="1:7" x14ac:dyDescent="0.25">
      <c r="A115">
        <v>14329</v>
      </c>
      <c r="B115" s="153" t="s">
        <v>111</v>
      </c>
      <c r="C115" s="153" t="s">
        <v>85</v>
      </c>
      <c r="D115" s="153" t="s">
        <v>353</v>
      </c>
      <c r="E115" s="153" t="s">
        <v>354</v>
      </c>
      <c r="F115" t="s">
        <v>258</v>
      </c>
      <c r="G115" t="s">
        <v>425</v>
      </c>
    </row>
    <row r="116" spans="1:7" x14ac:dyDescent="0.25">
      <c r="A116">
        <v>14335</v>
      </c>
      <c r="B116" s="153" t="s">
        <v>131</v>
      </c>
      <c r="C116" s="153" t="s">
        <v>85</v>
      </c>
      <c r="D116" s="153" t="s">
        <v>542</v>
      </c>
      <c r="E116" s="153" t="s">
        <v>543</v>
      </c>
      <c r="F116" t="s">
        <v>258</v>
      </c>
      <c r="G116" t="s">
        <v>425</v>
      </c>
    </row>
    <row r="117" spans="1:7" x14ac:dyDescent="0.25">
      <c r="A117">
        <v>14335</v>
      </c>
      <c r="B117" s="153" t="s">
        <v>131</v>
      </c>
      <c r="C117" s="153" t="s">
        <v>85</v>
      </c>
      <c r="D117" s="153" t="s">
        <v>544</v>
      </c>
      <c r="E117" s="153" t="s">
        <v>545</v>
      </c>
      <c r="F117" t="s">
        <v>258</v>
      </c>
      <c r="G117" t="s">
        <v>422</v>
      </c>
    </row>
    <row r="118" spans="1:7" x14ac:dyDescent="0.25">
      <c r="A118">
        <v>14338</v>
      </c>
      <c r="B118" s="153" t="s">
        <v>112</v>
      </c>
      <c r="C118" s="153" t="s">
        <v>85</v>
      </c>
      <c r="D118" s="153" t="s">
        <v>357</v>
      </c>
      <c r="E118" s="153" t="s">
        <v>358</v>
      </c>
      <c r="F118" t="s">
        <v>258</v>
      </c>
      <c r="G118" t="s">
        <v>426</v>
      </c>
    </row>
    <row r="119" spans="1:7" x14ac:dyDescent="0.25">
      <c r="A119">
        <v>14338</v>
      </c>
      <c r="B119" s="153" t="s">
        <v>112</v>
      </c>
      <c r="C119" s="153" t="s">
        <v>85</v>
      </c>
      <c r="D119" s="153" t="s">
        <v>359</v>
      </c>
      <c r="E119" s="153" t="s">
        <v>360</v>
      </c>
      <c r="F119" t="s">
        <v>258</v>
      </c>
      <c r="G119" t="s">
        <v>425</v>
      </c>
    </row>
    <row r="120" spans="1:7" x14ac:dyDescent="0.25">
      <c r="A120">
        <v>14338</v>
      </c>
      <c r="B120" s="153" t="s">
        <v>112</v>
      </c>
      <c r="C120" s="153" t="s">
        <v>85</v>
      </c>
      <c r="D120" s="153" t="s">
        <v>361</v>
      </c>
      <c r="E120" s="153" t="s">
        <v>362</v>
      </c>
      <c r="F120" t="s">
        <v>258</v>
      </c>
      <c r="G120" t="s">
        <v>425</v>
      </c>
    </row>
    <row r="121" spans="1:7" x14ac:dyDescent="0.25">
      <c r="A121">
        <v>14338</v>
      </c>
      <c r="B121" s="153" t="s">
        <v>112</v>
      </c>
      <c r="C121" s="153" t="s">
        <v>85</v>
      </c>
      <c r="D121" s="153" t="s">
        <v>212</v>
      </c>
      <c r="E121" s="153" t="s">
        <v>213</v>
      </c>
      <c r="F121" t="s">
        <v>258</v>
      </c>
      <c r="G121" t="s">
        <v>425</v>
      </c>
    </row>
    <row r="122" spans="1:7" x14ac:dyDescent="0.25">
      <c r="A122">
        <v>14338</v>
      </c>
      <c r="B122" s="153" t="s">
        <v>112</v>
      </c>
      <c r="C122" s="153" t="s">
        <v>85</v>
      </c>
      <c r="D122" s="153" t="s">
        <v>435</v>
      </c>
      <c r="E122" s="153" t="s">
        <v>436</v>
      </c>
      <c r="F122" t="s">
        <v>258</v>
      </c>
      <c r="G122" t="s">
        <v>425</v>
      </c>
    </row>
    <row r="123" spans="1:7" x14ac:dyDescent="0.25">
      <c r="A123">
        <v>14338</v>
      </c>
      <c r="B123" s="153" t="s">
        <v>112</v>
      </c>
      <c r="C123" s="153" t="s">
        <v>85</v>
      </c>
      <c r="D123" s="153" t="s">
        <v>481</v>
      </c>
      <c r="E123" s="153" t="s">
        <v>482</v>
      </c>
      <c r="F123" t="s">
        <v>258</v>
      </c>
      <c r="G123" t="s">
        <v>426</v>
      </c>
    </row>
    <row r="124" spans="1:7" x14ac:dyDescent="0.25">
      <c r="A124">
        <v>14409</v>
      </c>
      <c r="B124" s="153" t="s">
        <v>113</v>
      </c>
      <c r="C124" s="153" t="s">
        <v>85</v>
      </c>
      <c r="D124" s="153" t="s">
        <v>507</v>
      </c>
      <c r="E124" s="153" t="s">
        <v>508</v>
      </c>
      <c r="F124" t="s">
        <v>258</v>
      </c>
      <c r="G124" t="s">
        <v>422</v>
      </c>
    </row>
    <row r="125" spans="1:7" x14ac:dyDescent="0.25">
      <c r="A125">
        <v>14409</v>
      </c>
      <c r="B125" s="153" t="s">
        <v>113</v>
      </c>
      <c r="C125" s="153" t="s">
        <v>85</v>
      </c>
      <c r="D125" s="153" t="s">
        <v>365</v>
      </c>
      <c r="E125" s="153" t="s">
        <v>366</v>
      </c>
      <c r="F125" t="s">
        <v>258</v>
      </c>
      <c r="G125" t="s">
        <v>422</v>
      </c>
    </row>
    <row r="126" spans="1:7" x14ac:dyDescent="0.25">
      <c r="A126">
        <v>14550</v>
      </c>
      <c r="B126" s="153" t="s">
        <v>89</v>
      </c>
      <c r="C126" s="153" t="s">
        <v>85</v>
      </c>
      <c r="D126" s="153" t="s">
        <v>369</v>
      </c>
      <c r="E126" s="153" t="s">
        <v>370</v>
      </c>
      <c r="F126" t="s">
        <v>258</v>
      </c>
      <c r="G126" t="s">
        <v>422</v>
      </c>
    </row>
    <row r="127" spans="1:7" x14ac:dyDescent="0.25">
      <c r="A127">
        <v>14550</v>
      </c>
      <c r="B127" s="153" t="s">
        <v>89</v>
      </c>
      <c r="C127" s="153" t="s">
        <v>85</v>
      </c>
      <c r="D127" s="153" t="s">
        <v>371</v>
      </c>
      <c r="E127" s="153" t="s">
        <v>372</v>
      </c>
      <c r="F127" t="s">
        <v>258</v>
      </c>
      <c r="G127" t="s">
        <v>422</v>
      </c>
    </row>
    <row r="128" spans="1:7" x14ac:dyDescent="0.25">
      <c r="A128">
        <v>14598</v>
      </c>
      <c r="B128" s="153" t="s">
        <v>104</v>
      </c>
      <c r="C128" s="153" t="s">
        <v>85</v>
      </c>
      <c r="D128" s="153" t="s">
        <v>373</v>
      </c>
      <c r="E128" s="153" t="s">
        <v>374</v>
      </c>
      <c r="F128" t="s">
        <v>258</v>
      </c>
      <c r="G128" t="s">
        <v>422</v>
      </c>
    </row>
    <row r="129" spans="1:7" x14ac:dyDescent="0.25">
      <c r="A129">
        <v>14598</v>
      </c>
      <c r="B129" s="153" t="s">
        <v>104</v>
      </c>
      <c r="C129" s="153" t="s">
        <v>85</v>
      </c>
      <c r="D129" s="153" t="s">
        <v>375</v>
      </c>
      <c r="E129" s="153" t="s">
        <v>376</v>
      </c>
      <c r="F129" t="s">
        <v>258</v>
      </c>
      <c r="G129" t="s">
        <v>437</v>
      </c>
    </row>
    <row r="130" spans="1:7" x14ac:dyDescent="0.25">
      <c r="A130">
        <v>14598</v>
      </c>
      <c r="B130" s="153" t="s">
        <v>104</v>
      </c>
      <c r="C130" s="153" t="s">
        <v>85</v>
      </c>
      <c r="D130" s="153" t="s">
        <v>483</v>
      </c>
      <c r="E130" s="153" t="s">
        <v>484</v>
      </c>
      <c r="F130" t="s">
        <v>258</v>
      </c>
      <c r="G130" t="s">
        <v>426</v>
      </c>
    </row>
    <row r="131" spans="1:7" x14ac:dyDescent="0.25">
      <c r="A131">
        <v>14606</v>
      </c>
      <c r="B131" s="153" t="s">
        <v>115</v>
      </c>
      <c r="C131" s="153" t="s">
        <v>85</v>
      </c>
      <c r="D131" s="153" t="s">
        <v>528</v>
      </c>
      <c r="E131" s="153" t="s">
        <v>529</v>
      </c>
      <c r="F131" t="s">
        <v>258</v>
      </c>
      <c r="G131" t="s">
        <v>425</v>
      </c>
    </row>
    <row r="132" spans="1:7" x14ac:dyDescent="0.25">
      <c r="A132">
        <v>14665</v>
      </c>
      <c r="B132" s="153" t="s">
        <v>90</v>
      </c>
      <c r="C132" s="153" t="s">
        <v>85</v>
      </c>
      <c r="D132" s="153" t="s">
        <v>230</v>
      </c>
      <c r="E132" s="153" t="s">
        <v>231</v>
      </c>
      <c r="F132" t="s">
        <v>258</v>
      </c>
      <c r="G132" t="s">
        <v>422</v>
      </c>
    </row>
    <row r="133" spans="1:7" x14ac:dyDescent="0.25">
      <c r="A133">
        <v>14665</v>
      </c>
      <c r="B133" s="153" t="s">
        <v>90</v>
      </c>
      <c r="C133" s="153" t="s">
        <v>85</v>
      </c>
      <c r="D133" s="153" t="s">
        <v>379</v>
      </c>
      <c r="E133" s="153" t="s">
        <v>380</v>
      </c>
      <c r="F133" t="s">
        <v>258</v>
      </c>
      <c r="G133" t="s">
        <v>426</v>
      </c>
    </row>
    <row r="134" spans="1:7" x14ac:dyDescent="0.25">
      <c r="A134">
        <v>14724</v>
      </c>
      <c r="B134" s="153" t="s">
        <v>117</v>
      </c>
      <c r="C134" s="153" t="s">
        <v>85</v>
      </c>
      <c r="D134" s="153" t="s">
        <v>383</v>
      </c>
      <c r="E134" s="153" t="s">
        <v>384</v>
      </c>
      <c r="F134" t="s">
        <v>258</v>
      </c>
      <c r="G134" t="s">
        <v>425</v>
      </c>
    </row>
    <row r="135" spans="1:7" x14ac:dyDescent="0.25">
      <c r="A135">
        <v>14724</v>
      </c>
      <c r="B135" s="153" t="s">
        <v>117</v>
      </c>
      <c r="C135" s="153" t="s">
        <v>85</v>
      </c>
      <c r="D135" s="153" t="s">
        <v>236</v>
      </c>
      <c r="E135" s="153" t="s">
        <v>237</v>
      </c>
      <c r="F135" t="s">
        <v>258</v>
      </c>
      <c r="G135" t="s">
        <v>426</v>
      </c>
    </row>
    <row r="136" spans="1:7" x14ac:dyDescent="0.25">
      <c r="A136">
        <v>14724</v>
      </c>
      <c r="B136" s="153" t="s">
        <v>117</v>
      </c>
      <c r="C136" s="153" t="s">
        <v>85</v>
      </c>
      <c r="D136" s="153" t="s">
        <v>387</v>
      </c>
      <c r="E136" s="153" t="s">
        <v>388</v>
      </c>
      <c r="F136" t="s">
        <v>258</v>
      </c>
      <c r="G136" t="s">
        <v>422</v>
      </c>
    </row>
    <row r="137" spans="1:7" x14ac:dyDescent="0.25">
      <c r="A137">
        <v>14724</v>
      </c>
      <c r="B137" s="153" t="s">
        <v>117</v>
      </c>
      <c r="C137" s="153" t="s">
        <v>85</v>
      </c>
      <c r="D137" s="153" t="s">
        <v>538</v>
      </c>
      <c r="E137" s="153" t="s">
        <v>539</v>
      </c>
      <c r="F137" t="s">
        <v>258</v>
      </c>
      <c r="G137" t="s">
        <v>422</v>
      </c>
    </row>
    <row r="138" spans="1:7" x14ac:dyDescent="0.25">
      <c r="A138">
        <v>14724</v>
      </c>
      <c r="B138" s="153" t="s">
        <v>117</v>
      </c>
      <c r="C138" s="153" t="s">
        <v>85</v>
      </c>
      <c r="D138" s="153" t="s">
        <v>240</v>
      </c>
      <c r="E138" s="153" t="s">
        <v>241</v>
      </c>
      <c r="F138" t="s">
        <v>258</v>
      </c>
      <c r="G138" t="s">
        <v>426</v>
      </c>
    </row>
    <row r="139" spans="1:7" x14ac:dyDescent="0.25">
      <c r="A139">
        <v>14743</v>
      </c>
      <c r="B139" s="153" t="s">
        <v>136</v>
      </c>
      <c r="C139" s="153" t="s">
        <v>85</v>
      </c>
      <c r="D139" s="153" t="s">
        <v>540</v>
      </c>
      <c r="E139" s="153" t="s">
        <v>541</v>
      </c>
      <c r="F139" t="s">
        <v>258</v>
      </c>
      <c r="G139" t="s">
        <v>422</v>
      </c>
    </row>
    <row r="140" spans="1:7" x14ac:dyDescent="0.25">
      <c r="A140">
        <v>14743</v>
      </c>
      <c r="B140" s="153" t="s">
        <v>136</v>
      </c>
      <c r="C140" s="153" t="s">
        <v>85</v>
      </c>
      <c r="D140" s="153" t="s">
        <v>389</v>
      </c>
      <c r="E140" s="153" t="s">
        <v>390</v>
      </c>
      <c r="F140" t="s">
        <v>258</v>
      </c>
      <c r="G140" t="s">
        <v>422</v>
      </c>
    </row>
    <row r="141" spans="1:7" x14ac:dyDescent="0.25">
      <c r="A141">
        <v>14743</v>
      </c>
      <c r="B141" s="153" t="s">
        <v>136</v>
      </c>
      <c r="C141" s="153" t="s">
        <v>85</v>
      </c>
      <c r="D141" s="153" t="s">
        <v>224</v>
      </c>
      <c r="E141" s="153" t="s">
        <v>225</v>
      </c>
      <c r="F141" t="s">
        <v>258</v>
      </c>
      <c r="G141" t="s">
        <v>422</v>
      </c>
    </row>
    <row r="142" spans="1:7" x14ac:dyDescent="0.25">
      <c r="A142">
        <v>14743</v>
      </c>
      <c r="B142" s="153" t="s">
        <v>136</v>
      </c>
      <c r="C142" s="153" t="s">
        <v>85</v>
      </c>
      <c r="D142" s="153" t="s">
        <v>226</v>
      </c>
      <c r="E142" s="153" t="s">
        <v>227</v>
      </c>
      <c r="F142" t="s">
        <v>258</v>
      </c>
      <c r="G142" t="s">
        <v>422</v>
      </c>
    </row>
    <row r="143" spans="1:7" x14ac:dyDescent="0.25">
      <c r="A143">
        <v>14743</v>
      </c>
      <c r="B143" s="153" t="s">
        <v>136</v>
      </c>
      <c r="C143" s="153" t="s">
        <v>85</v>
      </c>
      <c r="D143" s="153" t="s">
        <v>228</v>
      </c>
      <c r="E143" s="153" t="s">
        <v>229</v>
      </c>
      <c r="F143" t="s">
        <v>258</v>
      </c>
      <c r="G143" t="s">
        <v>422</v>
      </c>
    </row>
    <row r="144" spans="1:7" x14ac:dyDescent="0.25">
      <c r="A144">
        <v>14743</v>
      </c>
      <c r="B144" s="153" t="s">
        <v>136</v>
      </c>
      <c r="C144" s="153" t="s">
        <v>85</v>
      </c>
      <c r="D144" s="153" t="s">
        <v>525</v>
      </c>
      <c r="E144" s="153" t="s">
        <v>526</v>
      </c>
      <c r="F144" t="s">
        <v>258</v>
      </c>
      <c r="G14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22" workbookViewId="0">
      <selection activeCell="E109" sqref="E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7" t="s">
        <v>485</v>
      </c>
      <c r="E22" s="117"/>
      <c r="F22" s="117"/>
      <c r="G22" s="117" t="s">
        <v>486</v>
      </c>
      <c r="H22" s="117"/>
      <c r="I22" s="117"/>
    </row>
    <row r="23" spans="1:13" ht="25.5" x14ac:dyDescent="0.25">
      <c r="A23" s="62" t="s">
        <v>119</v>
      </c>
      <c r="B23" s="62" t="s">
        <v>120</v>
      </c>
      <c r="C23" s="63" t="s">
        <v>439</v>
      </c>
      <c r="D23" s="66" t="s">
        <v>440</v>
      </c>
      <c r="E23" s="66" t="s">
        <v>441</v>
      </c>
      <c r="F23" s="66" t="s">
        <v>442</v>
      </c>
      <c r="G23" s="66" t="s">
        <v>443</v>
      </c>
      <c r="H23" s="70" t="s">
        <v>452</v>
      </c>
      <c r="I23" s="66" t="s">
        <v>463</v>
      </c>
      <c r="L23" s="67" t="s">
        <v>444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12</v>
      </c>
      <c r="L24" t="s">
        <v>445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9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59</v>
      </c>
      <c r="I25" s="13">
        <f t="shared" si="1"/>
        <v>6</v>
      </c>
      <c r="L25" t="s">
        <v>446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5</v>
      </c>
      <c r="L26" t="s">
        <v>447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2</v>
      </c>
      <c r="F27" s="13">
        <f>+COUNTIFS(BDD_SUIVI_CHANTIERS[code_insee],'PRIORISATION-1'!A27,BDD_SUIVI_CHANTIERS[type],"Dalle borne à verre")</f>
        <v>0</v>
      </c>
      <c r="G27" s="107" t="str">
        <f t="shared" si="0"/>
        <v>P2 - Haute</v>
      </c>
      <c r="H27" s="107" cm="1">
        <f t="array" ref="H27">INDEX($M$24:$M$27,$C27)+IFERROR(VLOOKUP(N($D27),$L$54:$M$57,2,TRUE),0)+IFERROR(VLOOKUP(N($E27),$L$39:$M$43,2,TRUE),0)+IFERROR(VLOOKUP(N($F27),$L$47:$M$50,2,TRUE),0)</f>
        <v>40</v>
      </c>
      <c r="I27" s="13">
        <f t="shared" si="1"/>
        <v>15</v>
      </c>
      <c r="L27" t="s">
        <v>448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14</v>
      </c>
      <c r="L28" s="71" t="s">
        <v>460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9</v>
      </c>
      <c r="L29" s="71" t="s">
        <v>453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6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20</v>
      </c>
      <c r="L31" s="71" t="s">
        <v>457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12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0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P3 - Moyenne</v>
      </c>
      <c r="H33" s="107" cm="1">
        <f t="array" ref="H33">INDEX($M$24:$M$27,$C33)+IFERROR(VLOOKUP(N($D33),$L$54:$M$57,2,TRUE),0)+IFERROR(VLOOKUP(N($E33),$L$39:$M$43,2,TRUE),0)+IFERROR(VLOOKUP(N($F33),$L$47:$M$50,2,TRUE),0)</f>
        <v>39</v>
      </c>
      <c r="I33" s="13">
        <f t="shared" si="1"/>
        <v>18</v>
      </c>
      <c r="L33" s="69" t="s">
        <v>449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450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22</v>
      </c>
      <c r="L35" s="69" t="s">
        <v>451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454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19</v>
      </c>
      <c r="L38" s="69" t="s">
        <v>455</v>
      </c>
      <c r="M38" s="69" t="s">
        <v>456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2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P2 - Haute</v>
      </c>
      <c r="H39" s="107" cm="1">
        <f t="array" ref="H39">INDEX($M$24:$M$27,$C39)+IFERROR(VLOOKUP(N($D39),$L$54:$M$57,2,TRUE),0)+IFERROR(VLOOKUP(N($E39),$L$39:$M$43,2,TRUE),0)+IFERROR(VLOOKUP(N($F39),$L$47:$M$50,2,TRUE),0)</f>
        <v>40</v>
      </c>
      <c r="I39" s="13">
        <f t="shared" si="1"/>
        <v>15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23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15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1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21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2</v>
      </c>
      <c r="F44" s="13">
        <f>+COUNTIFS(BDD_SUIVI_CHANTIERS[code_insee],'PRIORISATION-1'!A44,BDD_SUIVI_CHANTIERS[type],"Dalle borne à verre")</f>
        <v>0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10</v>
      </c>
      <c r="I44" s="13">
        <f t="shared" si="1"/>
        <v>30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5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23</v>
      </c>
      <c r="I45" s="13">
        <f t="shared" si="1"/>
        <v>26</v>
      </c>
      <c r="L45" s="72" t="s">
        <v>458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29</v>
      </c>
      <c r="L46" s="69" t="s">
        <v>459</v>
      </c>
      <c r="M46" s="69" t="s">
        <v>456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3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77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28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34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30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461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2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48</v>
      </c>
      <c r="I53" s="13">
        <f t="shared" si="1"/>
        <v>11</v>
      </c>
      <c r="L53" s="69" t="s">
        <v>462</v>
      </c>
      <c r="M53" s="69" t="s">
        <v>456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34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34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1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30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0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0</v>
      </c>
      <c r="I58" s="13">
        <f t="shared" si="1"/>
        <v>34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33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34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9</v>
      </c>
    </row>
    <row r="65" spans="1:6" x14ac:dyDescent="0.25">
      <c r="A65" s="106" t="s">
        <v>463</v>
      </c>
      <c r="B65" s="114" t="s">
        <v>405</v>
      </c>
      <c r="C65" s="115"/>
      <c r="D65" s="115"/>
      <c r="E65" s="115"/>
      <c r="F65" s="116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">IFERROR(TRANSPOSE(_xlfn._xlws.FILTER($B$24:$B$61,$I$24:$I$61=$A69)),"")</f>
        <v>Victot-en-Auge</v>
      </c>
      <c r="C69" s="13"/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>Gonneville-sur-Mer</v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Dozulé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">IFERROR(TRANSPOSE(_xlfn._xlws.FILTER($B$24:$B$61,$I$24:$I$61=$A73)),"")</f>
        <v>Gonneville-en-Auge</v>
      </c>
      <c r="C73" s="13"/>
      <c r="D73" s="13"/>
      <c r="E73" s="13"/>
      <c r="F73" s="13"/>
    </row>
    <row r="74" spans="1:6" x14ac:dyDescent="0.25">
      <c r="A74" s="13">
        <v>9</v>
      </c>
      <c r="B74" s="13" t="str" cm="1">
        <f t="array" ref="B74:C74">IFERROR(TRANSPOSE(_xlfn._xlws.FILTER($B$24:$B$61,$I$24:$I$61=$A74)),"")</f>
        <v>Sallenelles</v>
      </c>
      <c r="C74" s="13" t="str">
        <v>Varaville</v>
      </c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/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">IFERROR(TRANSPOSE(_xlfn._xlws.FILTER($B$24:$B$61,$I$24:$I$61=$A76)),"")</f>
        <v>Merville-Franceville-Plage</v>
      </c>
      <c r="C76" s="13"/>
      <c r="D76" s="13"/>
      <c r="E76" s="13"/>
      <c r="F76" s="13"/>
    </row>
    <row r="77" spans="1:6" x14ac:dyDescent="0.25">
      <c r="A77" s="13">
        <v>12</v>
      </c>
      <c r="B77" s="13" t="str" cm="1">
        <f t="array" ref="B77:C77">IFERROR(TRANSPOSE(_xlfn._xlws.FILTER($B$24:$B$61,$I$24:$I$61=$A77)),"")</f>
        <v>Angerville</v>
      </c>
      <c r="C77" s="13" t="str">
        <v>Cricqueville-en-Auge</v>
      </c>
      <c r="D77" s="13"/>
      <c r="E77" s="13"/>
      <c r="F77" s="13"/>
    </row>
    <row r="78" spans="1:6" x14ac:dyDescent="0.25">
      <c r="A78" s="13">
        <v>13</v>
      </c>
      <c r="B78" s="13" t="str" cm="1">
        <f t="array" ref="B78">IFERROR(TRANSPOSE(_xlfn._xlws.FILTER($B$24:$B$61,$I$24:$I$61=$A78)),"")</f>
        <v/>
      </c>
      <c r="C78" s="13"/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>Rumesnil</v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:D80">IFERROR(TRANSPOSE(_xlfn._xlws.FILTER($B$24:$B$61,$I$24:$I$61=$A80)),"")</f>
        <v>Hotot-en-Auge</v>
      </c>
      <c r="C80" s="13" t="str">
        <v>Beuvron-en-Auge</v>
      </c>
      <c r="D80" s="13" t="str">
        <v>Saint-Jouin</v>
      </c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/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/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Douville-en-Auge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Beaufour-Druval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">IFERROR(TRANSPOSE(_xlfn._xlws.FILTER($B$24:$B$61,$I$24:$I$61=$A85)),"")</f>
        <v>Cresseveuille</v>
      </c>
      <c r="C85" s="13"/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>Amfreville</v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Goustranville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Brucourt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Bavent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">IFERROR(TRANSPOSE(_xlfn._xlws.FILTER($B$24:$B$61,$I$24:$I$61=$A92)),"")</f>
        <v>Ranville</v>
      </c>
      <c r="C92" s="13"/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>Escoville</v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Bréville-les-Monts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:D95">IFERROR(TRANSPOSE(_xlfn._xlws.FILTER($B$24:$B$61,$I$24:$I$61=$A95)),"")</f>
        <v>Auberville</v>
      </c>
      <c r="C95" s="13" t="str">
        <v>Heuland</v>
      </c>
      <c r="D95" s="13" t="str">
        <v>Saint-Léger-Dubosq</v>
      </c>
      <c r="E95" s="13"/>
      <c r="F95" s="13"/>
    </row>
    <row r="96" spans="1:6" x14ac:dyDescent="0.25">
      <c r="A96" s="13">
        <v>31</v>
      </c>
      <c r="B96" s="13" t="str" cm="1">
        <f t="array" ref="B96">IFERROR(TRANSPOSE(_xlfn._xlws.FILTER($B$24:$B$61,$I$24:$I$61=$A96)),"")</f>
        <v/>
      </c>
      <c r="C96" s="13"/>
      <c r="D96" s="13"/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>Saint-Vaast-en-Auge</v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:F99">IFERROR(TRANSPOSE(_xlfn._xlws.FILTER($B$24:$B$61,$I$24:$I$61=$A99)),"")</f>
        <v>Hérouvillette</v>
      </c>
      <c r="C99" s="13" t="str">
        <v>Périers-en-Auge</v>
      </c>
      <c r="D99" s="13" t="str">
        <v>Petiville</v>
      </c>
      <c r="E99" s="13" t="str">
        <v>Saint-Samson</v>
      </c>
      <c r="F99" s="13" t="str">
        <v>Touffréville</v>
      </c>
    </row>
    <row r="100" spans="1:6" x14ac:dyDescent="0.25">
      <c r="A100" s="13">
        <v>35</v>
      </c>
      <c r="B100" s="13" t="str" cm="1">
        <f t="array" ref="B100">IFERROR(TRANSPOSE(_xlfn._xlws.FILTER($B$24:$B$61,$I$24:$I$61=$A100)),"")</f>
        <v/>
      </c>
      <c r="C100" s="13"/>
      <c r="D100" s="13"/>
      <c r="E100" s="13"/>
      <c r="F100" s="13"/>
    </row>
    <row r="101" spans="1:6" x14ac:dyDescent="0.25">
      <c r="A101" s="13">
        <v>36</v>
      </c>
      <c r="B101" s="13" t="str" cm="1">
        <f t="array" ref="B101">IFERROR(TRANSPOSE(_xlfn._xlws.FILTER($B$24:$B$61,$I$24:$I$61=$A101)),"")</f>
        <v/>
      </c>
      <c r="C101" s="13"/>
      <c r="D101" s="13"/>
      <c r="E101" s="13"/>
      <c r="F101" s="13"/>
    </row>
    <row r="102" spans="1:6" x14ac:dyDescent="0.25">
      <c r="A102" s="13">
        <v>37</v>
      </c>
      <c r="B102" s="13" t="str" cm="1">
        <f t="array" ref="B102">IFERROR(TRANSPOSE(_xlfn._xlws.FILTER($B$24:$B$61,$I$24:$I$61=$A102)),"")</f>
        <v/>
      </c>
      <c r="C102" s="13"/>
      <c r="D102" s="13"/>
      <c r="E102" s="13"/>
      <c r="F102" s="13"/>
    </row>
    <row r="103" spans="1:6" x14ac:dyDescent="0.25">
      <c r="A103" s="13">
        <v>38</v>
      </c>
      <c r="B103" s="13" t="str" cm="1">
        <f t="array" ref="B103">IFERROR(TRANSPOSE(_xlfn._xlws.FILTER($B$24:$B$61,$I$24:$I$61=$A103)),"")</f>
        <v/>
      </c>
      <c r="C103" s="13"/>
      <c r="D103" s="13"/>
      <c r="E103" s="13"/>
      <c r="F103" s="13"/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4" priority="1" operator="containsText" text="P1 - Critique">
      <formula>NOT(ISERROR(SEARCH("P1 - Critique",G24)))</formula>
    </cfRule>
    <cfRule type="containsText" dxfId="13" priority="2" operator="containsText" text="P2 - Haute">
      <formula>NOT(ISERROR(SEARCH("P2 - Haute",G24)))</formula>
    </cfRule>
    <cfRule type="containsText" dxfId="12" priority="3" operator="containsText" text="P3 - Moyenne">
      <formula>NOT(ISERROR(SEARCH("P3 - Moyenne",G24)))</formula>
    </cfRule>
    <cfRule type="containsText" dxfId="11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workbookViewId="0">
      <selection activeCell="E11" sqref="E11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11" t="s">
        <v>527</v>
      </c>
      <c r="L1" s="112" t="s">
        <v>73</v>
      </c>
    </row>
    <row r="2" spans="1:12" x14ac:dyDescent="0.25">
      <c r="A2" s="109" cm="1">
        <f t="array" ref="A2:I144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13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13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13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PDR</v>
      </c>
      <c r="F6" t="str">
        <v>49.28795646296933</v>
      </c>
      <c r="G6" t="str">
        <v xml:space="preserve"> -0.11498732277242912</v>
      </c>
      <c r="H6" t="str">
        <v>DALLE A FAIRE</v>
      </c>
      <c r="I6" t="str">
        <v>A AGRANDIR</v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49.28938402033412</v>
      </c>
      <c r="G7" t="str">
        <v xml:space="preserve"> -0.12674304087854937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49.29424072245121</v>
      </c>
      <c r="G8" t="str">
        <v xml:space="preserve"> -0.10623969812685341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1</v>
      </c>
      <c r="C9">
        <v>14117</v>
      </c>
      <c r="D9" t="str">
        <v>Cabourg</v>
      </c>
      <c r="E9" t="str">
        <v>Dalle borne à verre</v>
      </c>
      <c r="F9" t="str">
        <v>49.27806</v>
      </c>
      <c r="G9" t="str">
        <v xml:space="preserve"> -0.13368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cabane à cartons</v>
      </c>
      <c r="F10" t="str">
        <v>49.292704990188746</v>
      </c>
      <c r="G10" t="str">
        <v xml:space="preserve"> -0.08016420280405341</v>
      </c>
      <c r="H10" t="str">
        <v>DALLE A FAIRE</v>
      </c>
      <c r="I10" t="str">
        <v/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49.2876584</v>
      </c>
      <c r="G11" t="str">
        <v xml:space="preserve"> -0.0830063</v>
      </c>
      <c r="H11" t="str">
        <v>DALLE A FAIRE</v>
      </c>
      <c r="I11" t="str">
        <v>A CRÉER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49.294539237574405</v>
      </c>
      <c r="G12" t="str">
        <v xml:space="preserve"> -0.07897841397117843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49.2952025</v>
      </c>
      <c r="G13" t="str">
        <v xml:space="preserve"> -0.0566013</v>
      </c>
      <c r="H13" t="str">
        <v>DALLE A FAIRE</v>
      </c>
      <c r="I13" t="str">
        <v>A AGRANDIR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49.29825875109513</v>
      </c>
      <c r="G14" t="str">
        <v xml:space="preserve"> -0.05468906257289417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49.29988446178953</v>
      </c>
      <c r="G15" t="str">
        <v xml:space="preserve"> -0.05982123995887206</v>
      </c>
      <c r="H15" t="str">
        <v>DALLE A FAIRE</v>
      </c>
      <c r="I15" t="str">
        <v>A AGRANDIR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PDR</v>
      </c>
      <c r="F16" t="str">
        <v>49.302243628361495</v>
      </c>
      <c r="G16" t="str">
        <v xml:space="preserve"> -0.06986609035196993</v>
      </c>
      <c r="H16" t="str">
        <v>DALLE A FAIRE</v>
      </c>
      <c r="I16" t="str">
        <v>A CRÉER</v>
      </c>
    </row>
    <row r="17" spans="1:9" x14ac:dyDescent="0.25">
      <c r="A17" s="109">
        <v>16</v>
      </c>
      <c r="B17" s="109">
        <v>2</v>
      </c>
      <c r="C17">
        <v>14338</v>
      </c>
      <c r="D17" t="str">
        <v>Houlgate</v>
      </c>
      <c r="E17" t="str">
        <v>Dalle borne à verre</v>
      </c>
      <c r="F17" t="str">
        <v>49.29294</v>
      </c>
      <c r="G17" t="str">
        <v xml:space="preserve"> -0.04829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cabane à cartons</v>
      </c>
      <c r="F18" t="str">
        <v>49.265584155325584</v>
      </c>
      <c r="G18" t="str">
        <v xml:space="preserve"> -0.056620502222822604</v>
      </c>
      <c r="H18" t="str">
        <v>DALLE A FAIRE</v>
      </c>
      <c r="I18" t="str">
        <v/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49.26612615423531</v>
      </c>
      <c r="G19" t="str">
        <v xml:space="preserve"> -0.0823053498976165</v>
      </c>
      <c r="H19" t="str">
        <v>DALLE A FAIRE</v>
      </c>
      <c r="I19" t="str">
        <v>A AGRANDIR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49.2763151</v>
      </c>
      <c r="G20" t="str">
        <v xml:space="preserve"> -0.0654915</v>
      </c>
      <c r="H20" t="str">
        <v>DALLE A FAIRE</v>
      </c>
      <c r="I20" t="str">
        <v>A CRÉER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49.25905843312884</v>
      </c>
      <c r="G21" t="str">
        <v xml:space="preserve"> -0.05074849461745545</v>
      </c>
      <c r="H21" t="str">
        <v>DALLE A FAIRE</v>
      </c>
      <c r="I21" t="str">
        <v>A CRÉER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49.2592847</v>
      </c>
      <c r="G22" t="str">
        <v xml:space="preserve"> -0.0415662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49.2659712</v>
      </c>
      <c r="G23" t="str">
        <v xml:space="preserve"> -0.0646614</v>
      </c>
      <c r="H23" t="str">
        <v>DALLE A FAIRE</v>
      </c>
      <c r="I23" t="str">
        <v>A CRÉER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49.2724319</v>
      </c>
      <c r="G24" t="str">
        <v xml:space="preserve"> -0.0540277</v>
      </c>
      <c r="H24" t="str">
        <v>DALLE A FAIRE</v>
      </c>
      <c r="I24" t="str">
        <v>A AGRANDIR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49.26790536510873</v>
      </c>
      <c r="G25" t="str">
        <v xml:space="preserve"> -0.05590027026478743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3</v>
      </c>
      <c r="C26">
        <v>14316</v>
      </c>
      <c r="D26" t="str">
        <v>Grangues</v>
      </c>
      <c r="E26" t="str">
        <v>Dalle PDR</v>
      </c>
      <c r="F26" t="str">
        <v>49.262806168961625</v>
      </c>
      <c r="G26" t="str">
        <v xml:space="preserve"> -0.07378242105904796</v>
      </c>
      <c r="H26" t="str">
        <v>DALLE A FAIRE</v>
      </c>
      <c r="I26" t="str">
        <v>A CRÉER</v>
      </c>
    </row>
    <row r="27" spans="1:9" x14ac:dyDescent="0.25">
      <c r="A27" s="109">
        <v>26</v>
      </c>
      <c r="B27" s="109">
        <v>4</v>
      </c>
      <c r="C27">
        <v>14743</v>
      </c>
      <c r="D27" t="str">
        <v>Victot-en-Auge</v>
      </c>
      <c r="E27" t="str">
        <v>Dalle cabane à cartons</v>
      </c>
      <c r="F27" t="str">
        <v>49.17289832707203</v>
      </c>
      <c r="G27" t="str">
        <v xml:space="preserve"> -0.018312847925501575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14743</v>
      </c>
      <c r="D28" t="str">
        <v>Victot-en-Auge</v>
      </c>
      <c r="E28" t="str">
        <v>Dalle cabane à cartons</v>
      </c>
      <c r="F28" t="str">
        <v>49.16536420807095</v>
      </c>
      <c r="G28" t="str">
        <v xml:space="preserve"> 0.0031910194201919414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14743</v>
      </c>
      <c r="D29" t="str">
        <v>Victot-en-Auge</v>
      </c>
      <c r="E29" t="str">
        <v>Dalle PDR</v>
      </c>
      <c r="F29" t="str">
        <v>49.172896400387046</v>
      </c>
      <c r="G29" t="str">
        <v xml:space="preserve"> -0.018331281814506866</v>
      </c>
      <c r="H29" t="str">
        <v>DALLE A FAIRE</v>
      </c>
      <c r="I29" t="str">
        <v>A AMÉNAGER</v>
      </c>
    </row>
    <row r="30" spans="1:9" x14ac:dyDescent="0.25">
      <c r="A30" s="109">
        <v>29</v>
      </c>
      <c r="B30" s="109">
        <v>4</v>
      </c>
      <c r="C30">
        <v>14743</v>
      </c>
      <c r="D30" t="str">
        <v>Victot-en-Auge</v>
      </c>
      <c r="E30" t="str">
        <v>Dalle PDR</v>
      </c>
      <c r="F30" t="str">
        <v>49.1928515263001</v>
      </c>
      <c r="G30" t="str">
        <v xml:space="preserve"> -0.0050519618974088016</v>
      </c>
      <c r="H30" t="str">
        <v>DALLE A FAIRE</v>
      </c>
      <c r="I30" t="str">
        <v>A AMÉNAGER</v>
      </c>
    </row>
    <row r="31" spans="1:9" x14ac:dyDescent="0.25">
      <c r="A31" s="109">
        <v>30</v>
      </c>
      <c r="B31" s="109">
        <v>4</v>
      </c>
      <c r="C31">
        <v>14743</v>
      </c>
      <c r="D31" t="str">
        <v>Victot-en-Auge</v>
      </c>
      <c r="E31" t="str">
        <v>Dalle PDR</v>
      </c>
      <c r="F31" t="str">
        <v>49.162830781875286</v>
      </c>
      <c r="G31" t="str">
        <v xml:space="preserve"> -0.016482885130563795</v>
      </c>
      <c r="H31" t="str">
        <v>DALLE A FAIRE</v>
      </c>
      <c r="I31" t="str">
        <v>A AMÉNAGER</v>
      </c>
    </row>
    <row r="32" spans="1:9" x14ac:dyDescent="0.25">
      <c r="A32" s="109">
        <v>31</v>
      </c>
      <c r="B32" s="109">
        <v>4</v>
      </c>
      <c r="C32">
        <v>14743</v>
      </c>
      <c r="D32" t="str">
        <v>Victot-en-Auge</v>
      </c>
      <c r="E32" t="str">
        <v>Dalle PDR</v>
      </c>
      <c r="F32" t="str">
        <v>49.16015134123915</v>
      </c>
      <c r="G32" t="str">
        <v xml:space="preserve"> -0.012098838971738815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14743</v>
      </c>
      <c r="D33" t="str">
        <v>Victot-en-Auge</v>
      </c>
      <c r="E33" t="str">
        <v>Dalle PDR</v>
      </c>
      <c r="F33" t="str">
        <v>49.15227122363916</v>
      </c>
      <c r="G33" t="str">
        <v xml:space="preserve"> -0.006458452353706777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14743</v>
      </c>
      <c r="D34" t="str">
        <v>Victot-en-Auge</v>
      </c>
      <c r="E34" t="str">
        <v>Dalle PDR</v>
      </c>
      <c r="F34" t="str">
        <v>49.171809356230234</v>
      </c>
      <c r="G34" t="str">
        <v xml:space="preserve"> 0.007687174804642114</v>
      </c>
      <c r="H34" t="str">
        <v>DALLE A FAIRE</v>
      </c>
      <c r="I34" t="str">
        <v>A ÉTUDIER</v>
      </c>
    </row>
    <row r="35" spans="1:9" x14ac:dyDescent="0.25">
      <c r="A35" s="109">
        <v>34</v>
      </c>
      <c r="B35" s="109">
        <v>4</v>
      </c>
      <c r="C35">
        <v>14743</v>
      </c>
      <c r="D35" t="str">
        <v>Victot-en-Auge</v>
      </c>
      <c r="E35" t="str">
        <v>Dalle borne à verre</v>
      </c>
      <c r="F35" t="str">
        <v>49.1729147854973</v>
      </c>
      <c r="G35" t="str">
        <v xml:space="preserve"> -0.018277632373220002</v>
      </c>
      <c r="H35" t="str">
        <v>DALLE A FAIRE</v>
      </c>
      <c r="I35" t="str">
        <v/>
      </c>
    </row>
    <row r="36" spans="1:9" x14ac:dyDescent="0.25">
      <c r="A36" s="109">
        <v>35</v>
      </c>
      <c r="B36" s="109">
        <v>5</v>
      </c>
      <c r="C36">
        <v>14305</v>
      </c>
      <c r="D36" t="str">
        <v>Gonneville-sur-Mer</v>
      </c>
      <c r="E36" t="str">
        <v>Dalle PDR</v>
      </c>
      <c r="F36" t="str">
        <v>49.30743072574444</v>
      </c>
      <c r="G36" t="str">
        <v xml:space="preserve"> -0.04299704903332074</v>
      </c>
      <c r="H36" t="str">
        <v>DALLE A FAIRE</v>
      </c>
      <c r="I36" t="str">
        <v>A AGRANDIR</v>
      </c>
    </row>
    <row r="37" spans="1:9" x14ac:dyDescent="0.25">
      <c r="A37" s="109">
        <v>36</v>
      </c>
      <c r="B37" s="109">
        <v>5</v>
      </c>
      <c r="C37">
        <v>14305</v>
      </c>
      <c r="D37" t="str">
        <v>Gonneville-sur-Mer</v>
      </c>
      <c r="E37" t="str">
        <v>Dalle PDR</v>
      </c>
      <c r="F37" t="str">
        <v>49.2935959</v>
      </c>
      <c r="G37" t="str">
        <v xml:space="preserve"> -0.0119519</v>
      </c>
      <c r="H37" t="str">
        <v>DALLE A FAIRE</v>
      </c>
      <c r="I37" t="str">
        <v>A AGRANDIR</v>
      </c>
    </row>
    <row r="38" spans="1:9" x14ac:dyDescent="0.25">
      <c r="A38" s="109">
        <v>37</v>
      </c>
      <c r="B38" s="109">
        <v>5</v>
      </c>
      <c r="C38">
        <v>14305</v>
      </c>
      <c r="D38" t="str">
        <v>Gonneville-sur-Mer</v>
      </c>
      <c r="E38" t="str">
        <v>Dalle PDR</v>
      </c>
      <c r="F38" t="str">
        <v>49.29288803188187</v>
      </c>
      <c r="G38" t="str">
        <v xml:space="preserve"> -0.043396015846523056</v>
      </c>
      <c r="H38" t="str">
        <v>DALLE A FAIRE</v>
      </c>
      <c r="I38" t="str">
        <v>A CRÉER</v>
      </c>
    </row>
    <row r="39" spans="1:9" x14ac:dyDescent="0.25">
      <c r="A39" s="109">
        <v>38</v>
      </c>
      <c r="B39" s="109">
        <v>5</v>
      </c>
      <c r="C39">
        <v>14305</v>
      </c>
      <c r="D39" t="str">
        <v>Gonneville-sur-Mer</v>
      </c>
      <c r="E39" t="str">
        <v>Dalle PDR</v>
      </c>
      <c r="F39" t="str">
        <v>49.2828881</v>
      </c>
      <c r="G39" t="str">
        <v xml:space="preserve"> -0.0139663</v>
      </c>
      <c r="H39" t="str">
        <v>DALLE A FAIRE</v>
      </c>
      <c r="I39" t="str">
        <v>A AGRANDIR</v>
      </c>
    </row>
    <row r="40" spans="1:9" x14ac:dyDescent="0.25">
      <c r="A40" s="109">
        <v>39</v>
      </c>
      <c r="B40" s="109">
        <v>5</v>
      </c>
      <c r="C40">
        <v>14305</v>
      </c>
      <c r="D40" t="str">
        <v>Gonneville-sur-Mer</v>
      </c>
      <c r="E40" t="str">
        <v>Dalle PDR</v>
      </c>
      <c r="F40" t="str">
        <v>49.2859596</v>
      </c>
      <c r="G40" t="str">
        <v xml:space="preserve"> -0.0412631</v>
      </c>
      <c r="H40" t="str">
        <v>DALLE A FAIRE</v>
      </c>
      <c r="I40" t="str">
        <v>A AGRANDIR</v>
      </c>
    </row>
    <row r="41" spans="1:9" x14ac:dyDescent="0.25">
      <c r="A41" s="109">
        <v>40</v>
      </c>
      <c r="B41" s="109">
        <v>5</v>
      </c>
      <c r="C41">
        <v>14305</v>
      </c>
      <c r="D41" t="str">
        <v>Gonneville-sur-Mer</v>
      </c>
      <c r="E41" t="str">
        <v>Dalle PDR</v>
      </c>
      <c r="F41" t="str">
        <v>49.2700973</v>
      </c>
      <c r="G41" t="str">
        <v xml:space="preserve"> -0.0352885</v>
      </c>
      <c r="H41" t="str">
        <v>DALLE A FAIRE</v>
      </c>
      <c r="I41" t="str">
        <v>A AGRANDIR</v>
      </c>
    </row>
    <row r="42" spans="1:9" x14ac:dyDescent="0.25">
      <c r="A42" s="109">
        <v>41</v>
      </c>
      <c r="B42" s="109">
        <v>5</v>
      </c>
      <c r="C42">
        <v>14305</v>
      </c>
      <c r="D42" t="str">
        <v>Gonneville-sur-Mer</v>
      </c>
      <c r="E42" t="str">
        <v>Dalle PDR</v>
      </c>
      <c r="F42" t="str">
        <v>49.2875088</v>
      </c>
      <c r="G42" t="str">
        <v xml:space="preserve"> -0.0424567</v>
      </c>
      <c r="H42" t="str">
        <v>DALLE A FAIRE</v>
      </c>
      <c r="I42" t="str">
        <v>A AGRANDIR</v>
      </c>
    </row>
    <row r="43" spans="1:9" x14ac:dyDescent="0.25">
      <c r="A43" s="109">
        <v>42</v>
      </c>
      <c r="B43" s="109">
        <v>5</v>
      </c>
      <c r="C43">
        <v>14305</v>
      </c>
      <c r="D43" t="str">
        <v>Gonneville-sur-Mer</v>
      </c>
      <c r="E43" t="str">
        <v>Dalle PDR</v>
      </c>
      <c r="F43" t="str">
        <v>49.296459417812216</v>
      </c>
      <c r="G43" t="str">
        <v xml:space="preserve"> -0.011719298602490874</v>
      </c>
      <c r="H43" t="str">
        <v>DALLE A FAIRE</v>
      </c>
      <c r="I43" t="str">
        <v>A AGRANDIR</v>
      </c>
    </row>
    <row r="44" spans="1:9" x14ac:dyDescent="0.25">
      <c r="A44" s="109">
        <v>43</v>
      </c>
      <c r="B44" s="109">
        <v>5</v>
      </c>
      <c r="C44">
        <v>14305</v>
      </c>
      <c r="D44" t="str">
        <v>Gonneville-sur-Mer</v>
      </c>
      <c r="E44" t="str">
        <v>Dalle PDR</v>
      </c>
      <c r="F44" t="str">
        <v>49.28131233688149</v>
      </c>
      <c r="G44" t="str">
        <v xml:space="preserve"> -0.06498531070337203</v>
      </c>
      <c r="H44" t="str">
        <v>DALLE A FAIRE</v>
      </c>
      <c r="I44" t="str">
        <v>A AGRANDIR</v>
      </c>
    </row>
    <row r="45" spans="1:9" x14ac:dyDescent="0.25">
      <c r="A45" s="109">
        <v>44</v>
      </c>
      <c r="B45" s="109">
        <v>5</v>
      </c>
      <c r="C45">
        <v>14305</v>
      </c>
      <c r="D45" t="str">
        <v>Gonneville-sur-Mer</v>
      </c>
      <c r="E45" t="str">
        <v>Dalle PDR</v>
      </c>
      <c r="F45" t="str">
        <v>49.29147352020813</v>
      </c>
      <c r="G45" t="str">
        <v xml:space="preserve"> -0.02990099672911984</v>
      </c>
      <c r="H45" t="str">
        <v>DALLE A FAIRE</v>
      </c>
      <c r="I45" t="str">
        <v>A AGRANDIR</v>
      </c>
    </row>
    <row r="46" spans="1:9" x14ac:dyDescent="0.25">
      <c r="A46" s="109">
        <v>45</v>
      </c>
      <c r="B46" s="109">
        <v>5</v>
      </c>
      <c r="C46">
        <v>14305</v>
      </c>
      <c r="D46" t="str">
        <v>Gonneville-sur-Mer</v>
      </c>
      <c r="E46" t="str">
        <v>Dalle borne à verre</v>
      </c>
      <c r="F46" t="str">
        <v>49.288664970921296</v>
      </c>
      <c r="G46" t="str">
        <v xml:space="preserve"> -0.007120671085641827</v>
      </c>
      <c r="H46" t="str">
        <v>DALLE A FAIRE</v>
      </c>
      <c r="I46" t="str">
        <v/>
      </c>
    </row>
    <row r="47" spans="1:9" x14ac:dyDescent="0.25">
      <c r="A47" s="109">
        <v>46</v>
      </c>
      <c r="B47" s="109">
        <v>5</v>
      </c>
      <c r="C47">
        <v>14305</v>
      </c>
      <c r="D47" t="str">
        <v>Gonneville-sur-Mer</v>
      </c>
      <c r="E47" t="str">
        <v>Dalle borne à verre</v>
      </c>
      <c r="F47" t="str">
        <v>49.30481322598841</v>
      </c>
      <c r="G47" t="str">
        <v xml:space="preserve"> -0.05778662669533739</v>
      </c>
      <c r="H47" t="str">
        <v>DALLE A FAIRE</v>
      </c>
      <c r="I47" t="str">
        <v/>
      </c>
    </row>
    <row r="48" spans="1:9" x14ac:dyDescent="0.25">
      <c r="A48" s="109">
        <v>47</v>
      </c>
      <c r="B48" s="109">
        <v>6</v>
      </c>
      <c r="C48">
        <v>14229</v>
      </c>
      <c r="D48" t="str">
        <v>Dozulé</v>
      </c>
      <c r="E48" t="str">
        <v>Dalle cabane à cartons</v>
      </c>
      <c r="F48" t="str">
        <v>49.22709487115593</v>
      </c>
      <c r="G48" t="str">
        <v xml:space="preserve"> -0.04823379090339059</v>
      </c>
      <c r="H48" t="str">
        <v>DALLE A FAIRE</v>
      </c>
      <c r="I48" t="str">
        <v/>
      </c>
    </row>
    <row r="49" spans="1:9" x14ac:dyDescent="0.25">
      <c r="A49" s="109">
        <v>48</v>
      </c>
      <c r="B49" s="109">
        <v>6</v>
      </c>
      <c r="C49">
        <v>14229</v>
      </c>
      <c r="D49" t="str">
        <v>Dozulé</v>
      </c>
      <c r="E49" t="str">
        <v>Dalle cabane à cartons</v>
      </c>
      <c r="F49" t="str">
        <v>49.233704768397914</v>
      </c>
      <c r="G49" t="str">
        <v xml:space="preserve"> -0.0500232074070623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14229</v>
      </c>
      <c r="D50" t="str">
        <v>Dozulé</v>
      </c>
      <c r="E50" t="str">
        <v>Dalle cabane à cartons</v>
      </c>
      <c r="F50" t="str">
        <v>49.23177507654163</v>
      </c>
      <c r="G50" t="str">
        <v xml:space="preserve"> -0.04427842285725417</v>
      </c>
      <c r="H50" t="str">
        <v>DALLE A FAIRE</v>
      </c>
      <c r="I50" t="str">
        <v/>
      </c>
    </row>
    <row r="51" spans="1:9" x14ac:dyDescent="0.25">
      <c r="A51" s="109">
        <v>50</v>
      </c>
      <c r="B51" s="109">
        <v>6</v>
      </c>
      <c r="C51">
        <v>14229</v>
      </c>
      <c r="D51" t="str">
        <v>Dozulé</v>
      </c>
      <c r="E51" t="str">
        <v>Dalle PDR</v>
      </c>
      <c r="F51" t="str">
        <v>49.23186249899733</v>
      </c>
      <c r="G51" t="str">
        <v xml:space="preserve"> -0.04595250406602712</v>
      </c>
      <c r="H51" t="str">
        <v>DALLE A FAIRE</v>
      </c>
      <c r="I51" t="str">
        <v>A CRÉER</v>
      </c>
    </row>
    <row r="52" spans="1:9" x14ac:dyDescent="0.25">
      <c r="A52" s="109">
        <v>51</v>
      </c>
      <c r="B52" s="109">
        <v>6</v>
      </c>
      <c r="C52">
        <v>14229</v>
      </c>
      <c r="D52" t="str">
        <v>Dozulé</v>
      </c>
      <c r="E52" t="str">
        <v>Dalle PDR</v>
      </c>
      <c r="F52" t="str">
        <v>49.22958086528844</v>
      </c>
      <c r="G52" t="str">
        <v xml:space="preserve"> -0.0444975878721113</v>
      </c>
      <c r="H52" t="str">
        <v>DALLE A FAIRE</v>
      </c>
      <c r="I52" t="str">
        <v>A CRÉER</v>
      </c>
    </row>
    <row r="53" spans="1:9" x14ac:dyDescent="0.25">
      <c r="A53" s="109">
        <v>52</v>
      </c>
      <c r="B53" s="109">
        <v>6</v>
      </c>
      <c r="C53">
        <v>14229</v>
      </c>
      <c r="D53" t="str">
        <v>Dozulé</v>
      </c>
      <c r="E53" t="str">
        <v>Dalle PDR</v>
      </c>
      <c r="F53" t="str">
        <v>49.2262862</v>
      </c>
      <c r="G53" t="str">
        <v xml:space="preserve"> -0.0363922</v>
      </c>
      <c r="H53" t="str">
        <v>DALLE A FAIRE</v>
      </c>
      <c r="I53" t="str">
        <v>A AMÉNAGER</v>
      </c>
    </row>
    <row r="54" spans="1:9" x14ac:dyDescent="0.25">
      <c r="A54" s="109">
        <v>53</v>
      </c>
      <c r="B54" s="109">
        <v>6</v>
      </c>
      <c r="C54">
        <v>14229</v>
      </c>
      <c r="D54" t="str">
        <v>Dozulé</v>
      </c>
      <c r="E54" t="str">
        <v>Dalle PDR</v>
      </c>
      <c r="F54" t="str">
        <v>49.2262862</v>
      </c>
      <c r="G54" t="str">
        <v xml:space="preserve"> -0.0363922</v>
      </c>
      <c r="H54" t="str">
        <v>DALLE A FAIRE</v>
      </c>
      <c r="I54" t="str">
        <v>A AMÉNAGER</v>
      </c>
    </row>
    <row r="55" spans="1:9" x14ac:dyDescent="0.25">
      <c r="A55" s="109">
        <v>54</v>
      </c>
      <c r="B55" s="109">
        <v>6</v>
      </c>
      <c r="C55">
        <v>14229</v>
      </c>
      <c r="D55" t="str">
        <v>Dozulé</v>
      </c>
      <c r="E55" t="str">
        <v>Dalle PDR</v>
      </c>
      <c r="F55" t="str">
        <v>49.2235272</v>
      </c>
      <c r="G55" t="str">
        <v xml:space="preserve"> -0.0429368</v>
      </c>
      <c r="H55" t="str">
        <v>DALLE A FAIRE</v>
      </c>
      <c r="I55" t="str">
        <v>A AMÉNAGER</v>
      </c>
    </row>
    <row r="56" spans="1:9" x14ac:dyDescent="0.25">
      <c r="A56" s="109">
        <v>55</v>
      </c>
      <c r="B56" s="109">
        <v>6</v>
      </c>
      <c r="C56">
        <v>14229</v>
      </c>
      <c r="D56" t="str">
        <v>Dozulé</v>
      </c>
      <c r="E56" t="str">
        <v>Dalle PDR</v>
      </c>
      <c r="F56" t="str">
        <v>49.22913127846012</v>
      </c>
      <c r="G56" t="str">
        <v xml:space="preserve"> -0.04684122951583171</v>
      </c>
      <c r="H56" t="str">
        <v>DALLE A FAIRE</v>
      </c>
      <c r="I56" t="str">
        <v>A AMÉNAGER</v>
      </c>
    </row>
    <row r="57" spans="1:9" x14ac:dyDescent="0.25">
      <c r="A57" s="109">
        <v>56</v>
      </c>
      <c r="B57" s="109">
        <v>6</v>
      </c>
      <c r="C57">
        <v>14229</v>
      </c>
      <c r="D57" t="str">
        <v>Dozulé</v>
      </c>
      <c r="E57" t="str">
        <v>Dalle PDR</v>
      </c>
      <c r="F57" t="str">
        <v>49.2281552</v>
      </c>
      <c r="G57" t="str">
        <v xml:space="preserve"> -0.0409721</v>
      </c>
      <c r="H57" t="str">
        <v>DALLE A FAIRE</v>
      </c>
      <c r="I57" t="str">
        <v>A CRÉER</v>
      </c>
    </row>
    <row r="58" spans="1:9" x14ac:dyDescent="0.25">
      <c r="A58" s="109">
        <v>57</v>
      </c>
      <c r="B58" s="109">
        <v>6</v>
      </c>
      <c r="C58">
        <v>14229</v>
      </c>
      <c r="D58" t="str">
        <v>Dozulé</v>
      </c>
      <c r="E58" t="str">
        <v>Dalle PDR</v>
      </c>
      <c r="F58" t="str">
        <v>49.230730058721775</v>
      </c>
      <c r="G58" t="str">
        <v xml:space="preserve"> -0.04459631849467809</v>
      </c>
      <c r="H58" t="str">
        <v>DALLE A FAIRE</v>
      </c>
      <c r="I58" t="str">
        <v>A CRÉER</v>
      </c>
    </row>
    <row r="59" spans="1:9" x14ac:dyDescent="0.25">
      <c r="A59" s="109">
        <v>58</v>
      </c>
      <c r="B59" s="109">
        <v>6</v>
      </c>
      <c r="C59">
        <v>14229</v>
      </c>
      <c r="D59" t="str">
        <v>Dozulé</v>
      </c>
      <c r="E59" t="str">
        <v>Dalle PDR</v>
      </c>
      <c r="F59" t="str">
        <v>49.22720999872636</v>
      </c>
      <c r="G59" t="str">
        <v xml:space="preserve"> -0.04248176650664557</v>
      </c>
      <c r="H59" t="str">
        <v>DALLE A FAIRE</v>
      </c>
      <c r="I59" t="str">
        <v>A CRÉER</v>
      </c>
    </row>
    <row r="60" spans="1:9" x14ac:dyDescent="0.25">
      <c r="A60" s="109">
        <v>59</v>
      </c>
      <c r="B60" s="109">
        <v>6</v>
      </c>
      <c r="C60">
        <v>14229</v>
      </c>
      <c r="D60" t="str">
        <v>Dozulé</v>
      </c>
      <c r="E60" t="str">
        <v>Dalle borne à verre</v>
      </c>
      <c r="F60" t="str">
        <v>49.23361966795088</v>
      </c>
      <c r="G60" t="str">
        <v xml:space="preserve"> -0.049846803803620096</v>
      </c>
      <c r="H60" t="str">
        <v>DALLE A FAIRE</v>
      </c>
      <c r="I60" t="str">
        <v/>
      </c>
    </row>
    <row r="61" spans="1:9" x14ac:dyDescent="0.25">
      <c r="A61" s="109">
        <v>60</v>
      </c>
      <c r="B61" s="109">
        <v>7</v>
      </c>
      <c r="C61">
        <v>14225</v>
      </c>
      <c r="D61" t="str">
        <v>Dives-sur-Mer</v>
      </c>
      <c r="E61" t="str">
        <v>Dalle PDR</v>
      </c>
      <c r="F61" t="str">
        <v>49.290392184518254</v>
      </c>
      <c r="G61" t="str">
        <v xml:space="preserve"> -0.10346719231758088</v>
      </c>
      <c r="H61" t="str">
        <v>DALLE A FAIRE</v>
      </c>
      <c r="I61" t="str">
        <v>A AMÉNAGER</v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49.2824044</v>
      </c>
      <c r="G62" t="str">
        <v xml:space="preserve"> -0.0959399</v>
      </c>
      <c r="H62" t="str">
        <v>DALLE A FAIRE</v>
      </c>
      <c r="I62" t="str">
        <v>A CRÉER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PDR</v>
      </c>
      <c r="F63" t="str">
        <v>49.2887483</v>
      </c>
      <c r="G63" t="str">
        <v xml:space="preserve"> -0.0964549</v>
      </c>
      <c r="H63" t="str">
        <v>DALLE A FAIRE</v>
      </c>
      <c r="I63" t="str">
        <v>A CRÉER</v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borne à verre</v>
      </c>
      <c r="F64" t="str">
        <v>49.27983237332137</v>
      </c>
      <c r="G64" t="str">
        <v xml:space="preserve"> -0.09823286146899714</v>
      </c>
      <c r="H64" t="str">
        <v>DALLE A FAIRE</v>
      </c>
      <c r="I64" t="str">
        <v/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49.279811853733904</v>
      </c>
      <c r="G65" t="str">
        <v xml:space="preserve"> -0.0982393971911464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49.29308024569457</v>
      </c>
      <c r="G66" t="str">
        <v xml:space="preserve"> -0.0965996815861622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borne à verre</v>
      </c>
      <c r="F67" t="str">
        <v>49.28126567809827</v>
      </c>
      <c r="G67" t="str">
        <v xml:space="preserve"> -0.09237319765539634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8</v>
      </c>
      <c r="C68">
        <v>14306</v>
      </c>
      <c r="D68" t="str">
        <v>Gonneville-en-Auge</v>
      </c>
      <c r="E68" t="str">
        <v>Dalle cabane à cartons</v>
      </c>
      <c r="F68" t="str">
        <v>49.26070201771357</v>
      </c>
      <c r="G68" t="str">
        <v xml:space="preserve"> -0.19127903845914065</v>
      </c>
      <c r="H68" t="str">
        <v>DALLE A FAIRE</v>
      </c>
      <c r="I68" t="str">
        <v/>
      </c>
    </row>
    <row r="69" spans="1:9" x14ac:dyDescent="0.25">
      <c r="A69" s="109">
        <v>68</v>
      </c>
      <c r="B69" s="109">
        <v>8</v>
      </c>
      <c r="C69">
        <v>14306</v>
      </c>
      <c r="D69" t="str">
        <v>Gonneville-en-Auge</v>
      </c>
      <c r="E69" t="str">
        <v>Dalle PDR</v>
      </c>
      <c r="F69" t="str">
        <v>49.2509682</v>
      </c>
      <c r="G69" t="str">
        <v xml:space="preserve"> -0.1937762</v>
      </c>
      <c r="H69" t="str">
        <v>DALLE A FAIRE</v>
      </c>
      <c r="I69" t="str">
        <v>A AGRANDIR</v>
      </c>
    </row>
    <row r="70" spans="1:9" x14ac:dyDescent="0.25">
      <c r="A70" s="109">
        <v>69</v>
      </c>
      <c r="B70" s="109">
        <v>8</v>
      </c>
      <c r="C70">
        <v>14306</v>
      </c>
      <c r="D70" t="str">
        <v>Gonneville-en-Auge</v>
      </c>
      <c r="E70" t="str">
        <v>Dalle PDR</v>
      </c>
      <c r="F70" t="str">
        <v>49.25131743180436</v>
      </c>
      <c r="G70" t="str">
        <v xml:space="preserve"> -0.18868645898233616</v>
      </c>
      <c r="H70" t="str">
        <v>DALLE A FAIRE</v>
      </c>
      <c r="I70" t="str">
        <v>A AMÉNAGER</v>
      </c>
    </row>
    <row r="71" spans="1:9" x14ac:dyDescent="0.25">
      <c r="A71" s="109">
        <v>70</v>
      </c>
      <c r="B71" s="109">
        <v>8</v>
      </c>
      <c r="C71">
        <v>14306</v>
      </c>
      <c r="D71" t="str">
        <v>Gonneville-en-Auge</v>
      </c>
      <c r="E71" t="str">
        <v>Dalle PDR</v>
      </c>
      <c r="F71" t="str">
        <v>49.259837345103605</v>
      </c>
      <c r="G71" t="str">
        <v xml:space="preserve"> -0.19400437323016223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14306</v>
      </c>
      <c r="D72" t="str">
        <v>Gonneville-en-Auge</v>
      </c>
      <c r="E72" t="str">
        <v>Dalle borne à verre</v>
      </c>
      <c r="F72" t="str">
        <v>49.25043545923873</v>
      </c>
      <c r="G72" t="str">
        <v xml:space="preserve"> -0.1897554517365692</v>
      </c>
      <c r="H72" t="str">
        <v>DALLE A FAIRE</v>
      </c>
      <c r="I72" t="str">
        <v/>
      </c>
    </row>
    <row r="73" spans="1:9" x14ac:dyDescent="0.25">
      <c r="A73" s="109">
        <v>72</v>
      </c>
      <c r="B73" s="109">
        <v>9</v>
      </c>
      <c r="C73">
        <v>14665</v>
      </c>
      <c r="D73" t="str">
        <v>Sallenelles</v>
      </c>
      <c r="E73" t="str">
        <v>Dalle cabane à cartons</v>
      </c>
      <c r="F73" t="str">
        <v>49.264999149825904</v>
      </c>
      <c r="G73" t="str">
        <v xml:space="preserve"> -0.22614302048322546</v>
      </c>
      <c r="H73" t="str">
        <v>DALLE A FAIRE</v>
      </c>
      <c r="I73" t="str">
        <v/>
      </c>
    </row>
    <row r="74" spans="1:9" x14ac:dyDescent="0.25">
      <c r="A74" s="109">
        <v>73</v>
      </c>
      <c r="B74" s="109">
        <v>9</v>
      </c>
      <c r="C74">
        <v>14665</v>
      </c>
      <c r="D74" t="str">
        <v>Sallenelles</v>
      </c>
      <c r="E74" t="str">
        <v>Dalle PDR</v>
      </c>
      <c r="F74" t="str">
        <v>49.26458402507549</v>
      </c>
      <c r="G74" t="str">
        <v xml:space="preserve"> -0.22684179451805833</v>
      </c>
      <c r="H74" t="str">
        <v>DALLE A FAIRE</v>
      </c>
      <c r="I74" t="str">
        <v>A AMÉNAGER</v>
      </c>
    </row>
    <row r="75" spans="1:9" x14ac:dyDescent="0.25">
      <c r="A75" s="109">
        <v>74</v>
      </c>
      <c r="B75" s="109">
        <v>9</v>
      </c>
      <c r="C75">
        <v>14665</v>
      </c>
      <c r="D75" t="str">
        <v>Sallenelles</v>
      </c>
      <c r="E75" t="str">
        <v>Dalle PDR</v>
      </c>
      <c r="F75" t="str">
        <v>49.2629037</v>
      </c>
      <c r="G75" t="str">
        <v xml:space="preserve"> -0.2301751</v>
      </c>
      <c r="H75" t="str">
        <v>DALLE A FAIRE</v>
      </c>
      <c r="I75" t="str">
        <v>A CRÉER</v>
      </c>
    </row>
    <row r="76" spans="1:9" x14ac:dyDescent="0.25">
      <c r="A76" s="109">
        <v>75</v>
      </c>
      <c r="B76" s="109">
        <v>9</v>
      </c>
      <c r="C76">
        <v>14665</v>
      </c>
      <c r="D76" t="str">
        <v>Sallenelles</v>
      </c>
      <c r="E76" t="str">
        <v>Dalle borne à verre</v>
      </c>
      <c r="F76" t="str">
        <v>49.265003975081655</v>
      </c>
      <c r="G76" t="str">
        <v xml:space="preserve"> -0.22611067614236424</v>
      </c>
      <c r="H76" t="str">
        <v>DALLE A FAIRE</v>
      </c>
      <c r="I76" t="str">
        <v/>
      </c>
    </row>
    <row r="77" spans="1:9" x14ac:dyDescent="0.25">
      <c r="A77" s="109">
        <v>76</v>
      </c>
      <c r="B77" s="109">
        <v>9</v>
      </c>
      <c r="C77">
        <v>14724</v>
      </c>
      <c r="D77" t="str">
        <v>Varaville</v>
      </c>
      <c r="E77" t="str">
        <v>Dalle PDR</v>
      </c>
      <c r="F77" t="str">
        <v>49.2840753</v>
      </c>
      <c r="G77" t="str">
        <v xml:space="preserve"> -0.1552194</v>
      </c>
      <c r="H77" t="str">
        <v>DALLE A FAIRE</v>
      </c>
      <c r="I77" t="str">
        <v>A AGRANDIR</v>
      </c>
    </row>
    <row r="78" spans="1:9" x14ac:dyDescent="0.25">
      <c r="A78" s="109">
        <v>77</v>
      </c>
      <c r="B78" s="109">
        <v>9</v>
      </c>
      <c r="C78">
        <v>14724</v>
      </c>
      <c r="D78" t="str">
        <v>Varaville</v>
      </c>
      <c r="E78" t="str">
        <v>Dalle PDR</v>
      </c>
      <c r="F78" t="str">
        <v>49.25556363891102</v>
      </c>
      <c r="G78" t="str">
        <v xml:space="preserve"> -0.13342002261110422</v>
      </c>
      <c r="H78" t="str">
        <v>DALLE A FAIRE</v>
      </c>
      <c r="I78" t="str">
        <v>A CRÉER</v>
      </c>
    </row>
    <row r="79" spans="1:9" x14ac:dyDescent="0.25">
      <c r="A79" s="109">
        <v>78</v>
      </c>
      <c r="B79" s="109">
        <v>9</v>
      </c>
      <c r="C79">
        <v>14724</v>
      </c>
      <c r="D79" t="str">
        <v>Varaville</v>
      </c>
      <c r="E79" t="str">
        <v>Dalle PDR</v>
      </c>
      <c r="F79" t="str">
        <v>49.2547524</v>
      </c>
      <c r="G79" t="str">
        <v xml:space="preserve"> -0.1512149</v>
      </c>
      <c r="H79" t="str">
        <v>DALLE A FAIRE</v>
      </c>
      <c r="I79" t="str">
        <v>A AMÉNAGER</v>
      </c>
    </row>
    <row r="80" spans="1:9" x14ac:dyDescent="0.25">
      <c r="A80" s="109">
        <v>79</v>
      </c>
      <c r="B80" s="109">
        <v>9</v>
      </c>
      <c r="C80">
        <v>14724</v>
      </c>
      <c r="D80" t="str">
        <v>Varaville</v>
      </c>
      <c r="E80" t="str">
        <v>Dalle PDR</v>
      </c>
      <c r="F80" t="str">
        <v>49.2844383</v>
      </c>
      <c r="G80" t="str">
        <v xml:space="preserve"> -0.1674382</v>
      </c>
      <c r="H80" t="str">
        <v>DALLE A FAIRE</v>
      </c>
      <c r="I80" t="str">
        <v>A AMÉNAGER</v>
      </c>
    </row>
    <row r="81" spans="1:9" x14ac:dyDescent="0.25">
      <c r="A81" s="109">
        <v>80</v>
      </c>
      <c r="B81" s="109">
        <v>9</v>
      </c>
      <c r="C81">
        <v>14724</v>
      </c>
      <c r="D81" t="str">
        <v>Varaville</v>
      </c>
      <c r="E81" t="str">
        <v>Dalle PDR</v>
      </c>
      <c r="F81" t="str">
        <v>49.2833384235042</v>
      </c>
      <c r="G81" t="str">
        <v xml:space="preserve"> -0.1689880342290415</v>
      </c>
      <c r="H81" t="str">
        <v>DALLE A FAIRE</v>
      </c>
      <c r="I81" t="str">
        <v>A CRÉER</v>
      </c>
    </row>
    <row r="82" spans="1:9" x14ac:dyDescent="0.25">
      <c r="A82" s="109">
        <v>81</v>
      </c>
      <c r="B82" s="109">
        <v>9</v>
      </c>
      <c r="C82">
        <v>14724</v>
      </c>
      <c r="D82" t="str">
        <v>Varaville</v>
      </c>
      <c r="E82" t="str">
        <v>Dalle borne à verre</v>
      </c>
      <c r="F82" t="str">
        <v>49.28466583871749</v>
      </c>
      <c r="G82" t="str">
        <v xml:space="preserve"> -0.1580206465866003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11</v>
      </c>
      <c r="C83">
        <v>14409</v>
      </c>
      <c r="D83" t="str">
        <v>Merville-Franceville-Plage</v>
      </c>
      <c r="E83" t="str">
        <v>Dalle PDR</v>
      </c>
      <c r="F83" t="str">
        <v>49.2712375</v>
      </c>
      <c r="G83" t="str">
        <v xml:space="preserve"> -0.1876433</v>
      </c>
      <c r="H83" t="str">
        <v>DALLE A FAIRE</v>
      </c>
      <c r="I83" t="str">
        <v>A AMÉNAGER</v>
      </c>
    </row>
    <row r="84" spans="1:9" x14ac:dyDescent="0.25">
      <c r="A84" s="109">
        <v>83</v>
      </c>
      <c r="B84" s="109">
        <v>11</v>
      </c>
      <c r="C84">
        <v>14409</v>
      </c>
      <c r="D84" t="str">
        <v>Merville-Franceville-Plage</v>
      </c>
      <c r="E84" t="str">
        <v>Dalle PDR</v>
      </c>
      <c r="F84" t="str">
        <v>49.2589267</v>
      </c>
      <c r="G84" t="str">
        <v xml:space="preserve"> -0.2226985</v>
      </c>
      <c r="H84" t="str">
        <v>DALLE A FAIRE</v>
      </c>
      <c r="I84" t="str">
        <v>A AMÉNAGER</v>
      </c>
    </row>
    <row r="85" spans="1:9" x14ac:dyDescent="0.25">
      <c r="A85" s="109">
        <v>84</v>
      </c>
      <c r="B85" s="109">
        <v>11</v>
      </c>
      <c r="C85">
        <v>14409</v>
      </c>
      <c r="D85" t="str">
        <v>Merville-Franceville-Plage</v>
      </c>
      <c r="E85" t="str">
        <v>Dalle borne à verre</v>
      </c>
      <c r="F85" t="str">
        <v>49.282047292669496</v>
      </c>
      <c r="G85" t="str">
        <v xml:space="preserve"> -0.20541323874820994</v>
      </c>
      <c r="H85" t="str">
        <v>DALLE A FAIRE</v>
      </c>
      <c r="I85" t="str">
        <v/>
      </c>
    </row>
    <row r="86" spans="1:9" x14ac:dyDescent="0.25">
      <c r="A86" s="109">
        <v>85</v>
      </c>
      <c r="B86" s="109">
        <v>11</v>
      </c>
      <c r="C86">
        <v>14409</v>
      </c>
      <c r="D86" t="str">
        <v>Merville-Franceville-Plage</v>
      </c>
      <c r="E86" t="str">
        <v>Dalle borne à verre</v>
      </c>
      <c r="F86" t="str">
        <v>49.28206352793798</v>
      </c>
      <c r="G86" t="str">
        <v xml:space="preserve"> -0.2054013182976707</v>
      </c>
      <c r="H86" t="str">
        <v>DALLE A FAIRE</v>
      </c>
      <c r="I86" t="str">
        <v/>
      </c>
    </row>
    <row r="87" spans="1:9" x14ac:dyDescent="0.25">
      <c r="A87" s="109">
        <v>86</v>
      </c>
      <c r="B87" s="109">
        <v>12</v>
      </c>
      <c r="C87">
        <v>14012</v>
      </c>
      <c r="D87" t="str">
        <v>Angerville</v>
      </c>
      <c r="E87" t="str">
        <v>Dalle PDR</v>
      </c>
      <c r="F87" t="str">
        <v>49.2472318</v>
      </c>
      <c r="G87" t="str">
        <v xml:space="preserve"> -0.0129685</v>
      </c>
      <c r="H87" t="str">
        <v>DALLE A FAIRE</v>
      </c>
      <c r="I87" t="str">
        <v>A AGRANDIR</v>
      </c>
    </row>
    <row r="88" spans="1:9" x14ac:dyDescent="0.25">
      <c r="A88" s="109">
        <v>87</v>
      </c>
      <c r="B88" s="109">
        <v>12</v>
      </c>
      <c r="C88">
        <v>14012</v>
      </c>
      <c r="D88" t="str">
        <v>Angerville</v>
      </c>
      <c r="E88" t="str">
        <v>Dalle PDR</v>
      </c>
      <c r="F88" t="str">
        <v>49.2400787</v>
      </c>
      <c r="G88" t="str">
        <v xml:space="preserve"> -0.0191979</v>
      </c>
      <c r="H88" t="str">
        <v>DALLE A FAIRE</v>
      </c>
      <c r="I88" t="str">
        <v>A AMÉNAGER</v>
      </c>
    </row>
    <row r="89" spans="1:9" x14ac:dyDescent="0.25">
      <c r="A89" s="109">
        <v>88</v>
      </c>
      <c r="B89" s="109">
        <v>12</v>
      </c>
      <c r="C89">
        <v>14012</v>
      </c>
      <c r="D89" t="str">
        <v>Angerville</v>
      </c>
      <c r="E89" t="str">
        <v>Dalle PDR</v>
      </c>
      <c r="F89" t="str">
        <v>49.244207</v>
      </c>
      <c r="G89" t="str">
        <v xml:space="preserve"> -0.0395653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12</v>
      </c>
      <c r="C90">
        <v>14012</v>
      </c>
      <c r="D90" t="str">
        <v>Angerville</v>
      </c>
      <c r="E90" t="str">
        <v>Dalle PDR</v>
      </c>
      <c r="F90" t="str">
        <v>49.2481283</v>
      </c>
      <c r="G90" t="str">
        <v xml:space="preserve"> -0.0366497</v>
      </c>
      <c r="H90" t="str">
        <v>DALLE A FAIRE</v>
      </c>
      <c r="I90" t="str">
        <v>A CRÉER</v>
      </c>
    </row>
    <row r="91" spans="1:9" x14ac:dyDescent="0.25">
      <c r="A91" s="109">
        <v>90</v>
      </c>
      <c r="B91" s="109">
        <v>12</v>
      </c>
      <c r="C91">
        <v>14203</v>
      </c>
      <c r="D91" t="str">
        <v>Cricqueville-en-Auge</v>
      </c>
      <c r="E91" t="str">
        <v>Dalle cabane à cartons</v>
      </c>
      <c r="F91" t="str">
        <v>49.25049652130896</v>
      </c>
      <c r="G91" t="str">
        <v xml:space="preserve"> -0.06291898739405613</v>
      </c>
      <c r="H91" t="str">
        <v>DALLE A FAIRE</v>
      </c>
      <c r="I91" t="str">
        <v/>
      </c>
    </row>
    <row r="92" spans="1:9" x14ac:dyDescent="0.25">
      <c r="A92" s="109">
        <v>91</v>
      </c>
      <c r="B92" s="109">
        <v>12</v>
      </c>
      <c r="C92">
        <v>14203</v>
      </c>
      <c r="D92" t="str">
        <v>Cricqueville-en-Auge</v>
      </c>
      <c r="E92" t="str">
        <v>Dalle PDR</v>
      </c>
      <c r="F92" t="str">
        <v>49.2504981</v>
      </c>
      <c r="G92" t="str">
        <v xml:space="preserve"> -0.0629809</v>
      </c>
      <c r="H92" t="str">
        <v>DALLE A FAIRE</v>
      </c>
      <c r="I92" t="str">
        <v>A AGRANDIR</v>
      </c>
    </row>
    <row r="93" spans="1:9" x14ac:dyDescent="0.25">
      <c r="A93" s="109">
        <v>92</v>
      </c>
      <c r="B93" s="109">
        <v>14</v>
      </c>
      <c r="C93">
        <v>14550</v>
      </c>
      <c r="D93" t="str">
        <v>Rumesnil</v>
      </c>
      <c r="E93" t="str">
        <v>Dalle PDR</v>
      </c>
      <c r="F93" t="str">
        <v>49.1861083</v>
      </c>
      <c r="G93" t="str">
        <v xml:space="preserve"> 0.0355218</v>
      </c>
      <c r="H93" t="str">
        <v>DALLE A FAIRE</v>
      </c>
      <c r="I93" t="str">
        <v>A AMÉNAGER</v>
      </c>
    </row>
    <row r="94" spans="1:9" x14ac:dyDescent="0.25">
      <c r="A94" s="109">
        <v>93</v>
      </c>
      <c r="B94" s="109">
        <v>14</v>
      </c>
      <c r="C94">
        <v>14550</v>
      </c>
      <c r="D94" t="str">
        <v>Rumesnil</v>
      </c>
      <c r="E94" t="str">
        <v>Dalle PDR</v>
      </c>
      <c r="F94" t="str">
        <v>49.1824292</v>
      </c>
      <c r="G94" t="str">
        <v xml:space="preserve"> 0.0172922</v>
      </c>
      <c r="H94" t="str">
        <v>DALLE A FAIRE</v>
      </c>
      <c r="I94" t="str">
        <v>A AMÉNAGER</v>
      </c>
    </row>
    <row r="95" spans="1:9" x14ac:dyDescent="0.25">
      <c r="A95" s="109">
        <v>94</v>
      </c>
      <c r="B95" s="109">
        <v>14</v>
      </c>
      <c r="C95">
        <v>14550</v>
      </c>
      <c r="D95" t="str">
        <v>Rumesnil</v>
      </c>
      <c r="E95" t="str">
        <v>Dalle borne à verre</v>
      </c>
      <c r="F95" t="str">
        <v>49.18610891146093</v>
      </c>
      <c r="G95" t="str">
        <v xml:space="preserve"> 0.03553315452669501</v>
      </c>
      <c r="H95" t="str">
        <v>DALLE A FAIRE</v>
      </c>
      <c r="I95" t="str">
        <v/>
      </c>
    </row>
    <row r="96" spans="1:9" x14ac:dyDescent="0.25">
      <c r="A96" s="109">
        <v>95</v>
      </c>
      <c r="B96" s="109">
        <v>15</v>
      </c>
      <c r="C96">
        <v>14070</v>
      </c>
      <c r="D96" t="str">
        <v>Beuvron-en-Auge</v>
      </c>
      <c r="E96" t="str">
        <v>Dalle cabane à cartons</v>
      </c>
      <c r="F96" t="str">
        <v>49.18846261113245</v>
      </c>
      <c r="G96" t="str">
        <v xml:space="preserve"> -0.04899986696358147</v>
      </c>
      <c r="H96" t="str">
        <v>DALLE A FAIRE</v>
      </c>
      <c r="I96" t="str">
        <v/>
      </c>
    </row>
    <row r="97" spans="1:9" x14ac:dyDescent="0.25">
      <c r="A97" s="109">
        <v>96</v>
      </c>
      <c r="B97" s="109">
        <v>15</v>
      </c>
      <c r="C97">
        <v>14070</v>
      </c>
      <c r="D97" t="str">
        <v>Beuvron-en-Auge</v>
      </c>
      <c r="E97" t="str">
        <v>Dalle cabane à cartons</v>
      </c>
      <c r="F97" t="str">
        <v>49.18842466474889</v>
      </c>
      <c r="G97" t="str">
        <v xml:space="preserve"> -0.04898877950306013</v>
      </c>
      <c r="H97" t="str">
        <v>DALLE A FAIRE</v>
      </c>
      <c r="I97" t="str">
        <v/>
      </c>
    </row>
    <row r="98" spans="1:9" x14ac:dyDescent="0.25">
      <c r="A98" s="109">
        <v>97</v>
      </c>
      <c r="B98" s="109">
        <v>15</v>
      </c>
      <c r="C98">
        <v>14070</v>
      </c>
      <c r="D98" t="str">
        <v>Beuvron-en-Auge</v>
      </c>
      <c r="E98" t="str">
        <v>Dalle PDR</v>
      </c>
      <c r="F98" t="str">
        <v>49.2031245</v>
      </c>
      <c r="G98" t="str">
        <v xml:space="preserve"> -0.0194098</v>
      </c>
      <c r="H98" t="str">
        <v>DALLE A FAIRE</v>
      </c>
      <c r="I98" t="str">
        <v>A CRÉER</v>
      </c>
    </row>
    <row r="99" spans="1:9" x14ac:dyDescent="0.25">
      <c r="A99" s="109">
        <v>98</v>
      </c>
      <c r="B99" s="109">
        <v>15</v>
      </c>
      <c r="C99">
        <v>14070</v>
      </c>
      <c r="D99" t="str">
        <v>Beuvron-en-Auge</v>
      </c>
      <c r="E99" t="str">
        <v>Dalle PDR</v>
      </c>
      <c r="F99" t="str">
        <v>49.206794</v>
      </c>
      <c r="G99" t="str">
        <v xml:space="preserve"> -0.0322616</v>
      </c>
      <c r="H99" t="str">
        <v>DALLE A FAIRE</v>
      </c>
      <c r="I99" t="str">
        <v>A AMÉNAGER</v>
      </c>
    </row>
    <row r="100" spans="1:9" x14ac:dyDescent="0.25">
      <c r="A100" s="109">
        <v>99</v>
      </c>
      <c r="B100" s="109">
        <v>15</v>
      </c>
      <c r="C100">
        <v>14335</v>
      </c>
      <c r="D100" t="str">
        <v>Hotot-en-Auge</v>
      </c>
      <c r="E100" t="str">
        <v>Dalle PDR</v>
      </c>
      <c r="F100" t="str">
        <v>49.16676639949451</v>
      </c>
      <c r="G100" t="str">
        <v xml:space="preserve"> -0.051771965627920254</v>
      </c>
      <c r="H100" t="str">
        <v>DALLE A FAIRE</v>
      </c>
      <c r="I100" t="str">
        <v>A AGRANDIR</v>
      </c>
    </row>
    <row r="101" spans="1:9" x14ac:dyDescent="0.25">
      <c r="A101" s="109">
        <v>100</v>
      </c>
      <c r="B101" s="109">
        <v>15</v>
      </c>
      <c r="C101">
        <v>14335</v>
      </c>
      <c r="D101" t="str">
        <v>Hotot-en-Auge</v>
      </c>
      <c r="E101" t="str">
        <v>Dalle PDR</v>
      </c>
      <c r="F101" t="str">
        <v>49.1810073736742</v>
      </c>
      <c r="G101" t="str">
        <v xml:space="preserve"> -0.10322438094979478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15</v>
      </c>
      <c r="C102">
        <v>14598</v>
      </c>
      <c r="D102" t="str">
        <v>Saint-Jouin</v>
      </c>
      <c r="E102" t="str">
        <v>Dalle cabane à cartons</v>
      </c>
      <c r="F102" t="str">
        <v>49.21965545601737</v>
      </c>
      <c r="G102" t="str">
        <v xml:space="preserve"> -0.016808597100771826</v>
      </c>
      <c r="H102" t="str">
        <v>DALLE A FAIRE</v>
      </c>
      <c r="I102" t="str">
        <v/>
      </c>
    </row>
    <row r="103" spans="1:9" x14ac:dyDescent="0.25">
      <c r="A103" s="109">
        <v>102</v>
      </c>
      <c r="B103" s="109">
        <v>15</v>
      </c>
      <c r="C103">
        <v>14598</v>
      </c>
      <c r="D103" t="str">
        <v>Saint-Jouin</v>
      </c>
      <c r="E103" t="str">
        <v>Dalle PDR</v>
      </c>
      <c r="F103" t="str">
        <v>49.2136874</v>
      </c>
      <c r="G103" t="str">
        <v xml:space="preserve"> -0.0287721</v>
      </c>
      <c r="H103" t="str">
        <v>DALLE A FAIRE</v>
      </c>
      <c r="I103" t="str">
        <v>A AMÉNAGER</v>
      </c>
    </row>
    <row r="104" spans="1:9" x14ac:dyDescent="0.25">
      <c r="A104" s="109">
        <v>103</v>
      </c>
      <c r="B104" s="109">
        <v>15</v>
      </c>
      <c r="C104">
        <v>14598</v>
      </c>
      <c r="D104" t="str">
        <v>Saint-Jouin</v>
      </c>
      <c r="E104" t="str">
        <v>Dalle PDR</v>
      </c>
      <c r="F104" t="str">
        <v>49.22458</v>
      </c>
      <c r="G104" t="str">
        <v xml:space="preserve"> 0.004144</v>
      </c>
      <c r="H104" t="str">
        <v>DALLE A FAIRE</v>
      </c>
      <c r="I104" t="str">
        <v>A DÉPLACER</v>
      </c>
    </row>
    <row r="105" spans="1:9" x14ac:dyDescent="0.25">
      <c r="A105" s="109">
        <v>104</v>
      </c>
      <c r="B105" s="109">
        <v>15</v>
      </c>
      <c r="C105">
        <v>14598</v>
      </c>
      <c r="D105" t="str">
        <v>Saint-Jouin</v>
      </c>
      <c r="E105" t="str">
        <v>Dalle PDR</v>
      </c>
      <c r="F105" t="str">
        <v>49.222611007790995</v>
      </c>
      <c r="G105" t="str">
        <v xml:space="preserve"> -0.02795375667878372</v>
      </c>
      <c r="H105" t="str">
        <v>DALLE A FAIRE</v>
      </c>
      <c r="I105" t="str">
        <v>A CRÉER</v>
      </c>
    </row>
    <row r="106" spans="1:9" x14ac:dyDescent="0.25">
      <c r="A106" s="109">
        <v>105</v>
      </c>
      <c r="B106" s="109">
        <v>18</v>
      </c>
      <c r="C106">
        <v>14227</v>
      </c>
      <c r="D106" t="str">
        <v>Douville-en-Auge</v>
      </c>
      <c r="E106" t="str">
        <v>Dalle PDR</v>
      </c>
      <c r="F106" t="str">
        <v>49.2639732</v>
      </c>
      <c r="G106" t="str">
        <v xml:space="preserve"> -0.0102903</v>
      </c>
      <c r="H106" t="str">
        <v>DALLE A FAIRE</v>
      </c>
      <c r="I106" t="str">
        <v>A AGRANDIR</v>
      </c>
    </row>
    <row r="107" spans="1:9" x14ac:dyDescent="0.25">
      <c r="A107" s="109">
        <v>106</v>
      </c>
      <c r="B107" s="109">
        <v>18</v>
      </c>
      <c r="C107">
        <v>14227</v>
      </c>
      <c r="D107" t="str">
        <v>Douville-en-Auge</v>
      </c>
      <c r="E107" t="str">
        <v>Dalle PDR</v>
      </c>
      <c r="F107" t="str">
        <v>49.2591368</v>
      </c>
      <c r="G107" t="str">
        <v xml:space="preserve"> -0.0063676</v>
      </c>
      <c r="H107" t="str">
        <v>DALLE A FAIRE</v>
      </c>
      <c r="I107" t="str">
        <v>A AGRANDIR</v>
      </c>
    </row>
    <row r="108" spans="1:9" x14ac:dyDescent="0.25">
      <c r="A108" s="109">
        <v>107</v>
      </c>
      <c r="B108" s="109">
        <v>18</v>
      </c>
      <c r="C108">
        <v>14227</v>
      </c>
      <c r="D108" t="str">
        <v>Douville-en-Auge</v>
      </c>
      <c r="E108" t="str">
        <v>Dalle PDR</v>
      </c>
      <c r="F108" t="str">
        <v>49.2744908</v>
      </c>
      <c r="G108" t="str">
        <v xml:space="preserve"> -0.0135411</v>
      </c>
      <c r="H108" t="str">
        <v>DALLE A FAIRE</v>
      </c>
      <c r="I108" t="str">
        <v>A AGRANDIR</v>
      </c>
    </row>
    <row r="109" spans="1:9" x14ac:dyDescent="0.25">
      <c r="A109" s="109">
        <v>108</v>
      </c>
      <c r="B109" s="109">
        <v>18</v>
      </c>
      <c r="C109">
        <v>14227</v>
      </c>
      <c r="D109" t="str">
        <v>Douville-en-Auge</v>
      </c>
      <c r="E109" t="str">
        <v>Dalle borne à verre</v>
      </c>
      <c r="F109" t="str">
        <v>49.26291</v>
      </c>
      <c r="G109" t="str">
        <v xml:space="preserve"> -0.02559</v>
      </c>
      <c r="H109" t="str">
        <v>DALLE A FAIRE</v>
      </c>
      <c r="I109" t="str">
        <v/>
      </c>
    </row>
    <row r="110" spans="1:9" x14ac:dyDescent="0.25">
      <c r="A110" s="109">
        <v>109</v>
      </c>
      <c r="B110" s="109">
        <v>19</v>
      </c>
      <c r="C110">
        <v>14231</v>
      </c>
      <c r="D110" t="str">
        <v>Beaufour-Druval</v>
      </c>
      <c r="E110" t="str">
        <v>Dalle cabane à cartons</v>
      </c>
      <c r="F110" t="str">
        <v>49.21497388373563</v>
      </c>
      <c r="G110" t="str">
        <v xml:space="preserve"> 0.021471329987151584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14231</v>
      </c>
      <c r="D111" t="str">
        <v>Beaufour-Druval</v>
      </c>
      <c r="E111" t="str">
        <v>Dalle PDR</v>
      </c>
      <c r="F111" t="str">
        <v>49.2198913</v>
      </c>
      <c r="G111" t="str">
        <v xml:space="preserve"> 0.0180459</v>
      </c>
      <c r="H111" t="str">
        <v>DALLE A FAIRE</v>
      </c>
      <c r="I111" t="str">
        <v>A AMÉNAGER</v>
      </c>
    </row>
    <row r="112" spans="1:9" x14ac:dyDescent="0.25">
      <c r="A112" s="109">
        <v>111</v>
      </c>
      <c r="B112" s="109">
        <v>20</v>
      </c>
      <c r="C112">
        <v>14198</v>
      </c>
      <c r="D112" t="str">
        <v>Cresseveuille</v>
      </c>
      <c r="E112" t="str">
        <v>Dalle PDR</v>
      </c>
      <c r="F112" t="str">
        <v>49.2396996</v>
      </c>
      <c r="G112" t="str">
        <v xml:space="preserve"> 0.0281256</v>
      </c>
      <c r="H112" t="str">
        <v>DALLE A FAIRE</v>
      </c>
      <c r="I112" t="str">
        <v>A AGRANDIR</v>
      </c>
    </row>
    <row r="113" spans="1:9" x14ac:dyDescent="0.25">
      <c r="A113" s="109">
        <v>112</v>
      </c>
      <c r="B113" s="109">
        <v>20</v>
      </c>
      <c r="C113">
        <v>14198</v>
      </c>
      <c r="D113" t="str">
        <v>Cresseveuille</v>
      </c>
      <c r="E113" t="str">
        <v>Dalle borne à verre</v>
      </c>
      <c r="F113" t="str">
        <v>49.24698</v>
      </c>
      <c r="G113" t="str">
        <v xml:space="preserve"> -0.00326</v>
      </c>
      <c r="H113" t="str">
        <v>DALLE A FAIRE</v>
      </c>
      <c r="I113" t="str">
        <v/>
      </c>
    </row>
    <row r="114" spans="1:9" x14ac:dyDescent="0.25">
      <c r="A114" s="109">
        <v>113</v>
      </c>
      <c r="B114" s="109">
        <v>21</v>
      </c>
      <c r="C114">
        <v>14009</v>
      </c>
      <c r="D114" t="str">
        <v>Amfreville</v>
      </c>
      <c r="E114" t="str">
        <v>Dalle cabane à cartons</v>
      </c>
      <c r="F114" t="str">
        <v>49.25562438639887</v>
      </c>
      <c r="G114" t="str">
        <v xml:space="preserve"> -0.22937048501071255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21</v>
      </c>
      <c r="C115">
        <v>14009</v>
      </c>
      <c r="D115" t="str">
        <v>Amfreville</v>
      </c>
      <c r="E115" t="str">
        <v>Dalle PDR</v>
      </c>
      <c r="F115" t="str">
        <v>49.249052346825934</v>
      </c>
      <c r="G115" t="str">
        <v xml:space="preserve"> -0.23480492949435036</v>
      </c>
      <c r="H115" t="str">
        <v>DALLE A FAIRE</v>
      </c>
      <c r="I115" t="str">
        <v>A AMÉNAGER</v>
      </c>
    </row>
    <row r="116" spans="1:9" x14ac:dyDescent="0.25">
      <c r="A116" s="109">
        <v>115</v>
      </c>
      <c r="B116" s="109">
        <v>21</v>
      </c>
      <c r="C116">
        <v>14009</v>
      </c>
      <c r="D116" t="str">
        <v>Amfreville</v>
      </c>
      <c r="E116" t="str">
        <v>Dalle borne à verre</v>
      </c>
      <c r="F116" t="str">
        <v>49.25566199427314</v>
      </c>
      <c r="G116" t="str">
        <v xml:space="preserve"> -0.22938853639403137</v>
      </c>
      <c r="H116" t="str">
        <v>DALLE A FAIRE</v>
      </c>
      <c r="I116" t="str">
        <v/>
      </c>
    </row>
    <row r="117" spans="1:9" x14ac:dyDescent="0.25">
      <c r="A117" s="109">
        <v>116</v>
      </c>
      <c r="B117" s="109">
        <v>21</v>
      </c>
      <c r="C117">
        <v>14009</v>
      </c>
      <c r="D117" t="str">
        <v>Amfreville</v>
      </c>
      <c r="E117" t="str">
        <v>Dalle borne à verre</v>
      </c>
      <c r="F117" t="str">
        <v>49.24970995591638</v>
      </c>
      <c r="G117" t="str">
        <v xml:space="preserve"> -0.23556659122746876</v>
      </c>
      <c r="H117" t="str">
        <v>DALLE A FAIRE</v>
      </c>
      <c r="I117" t="str">
        <v/>
      </c>
    </row>
    <row r="118" spans="1:9" x14ac:dyDescent="0.25">
      <c r="A118" s="109">
        <v>117</v>
      </c>
      <c r="B118" s="109">
        <v>22</v>
      </c>
      <c r="C118">
        <v>14308</v>
      </c>
      <c r="D118" t="str">
        <v>Goustranville</v>
      </c>
      <c r="E118" t="str">
        <v>Dalle PDR</v>
      </c>
      <c r="F118" t="str">
        <v>49.21780169594783</v>
      </c>
      <c r="G118" t="str">
        <v xml:space="preserve"> -0.09841021053886023</v>
      </c>
      <c r="H118" t="str">
        <v>DALLE A FAIRE</v>
      </c>
      <c r="I118" t="str">
        <v>A CRÉER</v>
      </c>
    </row>
    <row r="119" spans="1:9" x14ac:dyDescent="0.25">
      <c r="A119" s="109">
        <v>118</v>
      </c>
      <c r="B119" s="109">
        <v>23</v>
      </c>
      <c r="C119">
        <v>14110</v>
      </c>
      <c r="D119" t="str">
        <v>Brucourt</v>
      </c>
      <c r="E119" t="str">
        <v>Dalle PDR</v>
      </c>
      <c r="F119" t="str">
        <v>49.2458941</v>
      </c>
      <c r="G119" t="str">
        <v xml:space="preserve"> -0.1005694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23</v>
      </c>
      <c r="C120">
        <v>14110</v>
      </c>
      <c r="D120" t="str">
        <v>Brucourt</v>
      </c>
      <c r="E120" t="str">
        <v>Dalle PDR</v>
      </c>
      <c r="F120" t="str">
        <v>49.2446299</v>
      </c>
      <c r="G120" t="str">
        <v xml:space="preserve"> -0.1047993</v>
      </c>
      <c r="H120" t="str">
        <v>DALLE A FAIRE</v>
      </c>
      <c r="I120" t="str">
        <v>A AMÉNAGER</v>
      </c>
    </row>
    <row r="121" spans="1:9" x14ac:dyDescent="0.25">
      <c r="A121" s="109">
        <v>120</v>
      </c>
      <c r="B121" s="109">
        <v>23</v>
      </c>
      <c r="C121">
        <v>14110</v>
      </c>
      <c r="D121" t="str">
        <v>Brucourt</v>
      </c>
      <c r="E121" t="str">
        <v>Dalle PDR</v>
      </c>
      <c r="F121" t="str">
        <v>49.2552216</v>
      </c>
      <c r="G121" t="str">
        <v xml:space="preserve"> -0.0935085</v>
      </c>
      <c r="H121" t="str">
        <v>DALLE A FAIRE</v>
      </c>
      <c r="I121" t="str">
        <v>A AMÉNAGER</v>
      </c>
    </row>
    <row r="122" spans="1:9" x14ac:dyDescent="0.25">
      <c r="A122" s="109">
        <v>121</v>
      </c>
      <c r="B122" s="109">
        <v>23</v>
      </c>
      <c r="C122">
        <v>14110</v>
      </c>
      <c r="D122" t="str">
        <v>Brucourt</v>
      </c>
      <c r="E122" t="str">
        <v>Dalle borne à verre</v>
      </c>
      <c r="F122" t="str">
        <v>49.24471428769877</v>
      </c>
      <c r="G122" t="str">
        <v xml:space="preserve"> -0.10471671057294427</v>
      </c>
      <c r="H122" t="str">
        <v>DALLE A FAIRE</v>
      </c>
      <c r="I122" t="str">
        <v/>
      </c>
    </row>
    <row r="123" spans="1:9" x14ac:dyDescent="0.25">
      <c r="A123" s="109">
        <v>122</v>
      </c>
      <c r="B123" s="109">
        <v>24</v>
      </c>
      <c r="C123">
        <v>14045</v>
      </c>
      <c r="D123" t="str">
        <v>Basseneville</v>
      </c>
      <c r="E123" t="str">
        <v>Dalle PDR</v>
      </c>
      <c r="F123" t="str">
        <v>49.2076913</v>
      </c>
      <c r="G123" t="str">
        <v xml:space="preserve"> -0.1189426</v>
      </c>
      <c r="H123" t="str">
        <v>DALLE A FAIRE</v>
      </c>
      <c r="I123" t="str">
        <v>A AGRANDIR</v>
      </c>
    </row>
    <row r="124" spans="1:9" x14ac:dyDescent="0.25">
      <c r="A124" s="109">
        <v>123</v>
      </c>
      <c r="B124" s="109">
        <v>24</v>
      </c>
      <c r="C124">
        <v>14045</v>
      </c>
      <c r="D124" t="str">
        <v>Basseneville</v>
      </c>
      <c r="E124" t="str">
        <v>Dalle PDR</v>
      </c>
      <c r="F124" t="str">
        <v>49.21135</v>
      </c>
      <c r="G124" t="str">
        <v xml:space="preserve"> -0.1158996</v>
      </c>
      <c r="H124" t="str">
        <v>DALLE A FAIRE</v>
      </c>
      <c r="I124" t="str">
        <v>A AGRANDIR</v>
      </c>
    </row>
    <row r="125" spans="1:9" x14ac:dyDescent="0.25">
      <c r="A125" s="109">
        <v>124</v>
      </c>
      <c r="B125" s="109">
        <v>24</v>
      </c>
      <c r="C125">
        <v>14045</v>
      </c>
      <c r="D125" t="str">
        <v>Basseneville</v>
      </c>
      <c r="E125" t="str">
        <v>Dalle PDR</v>
      </c>
      <c r="F125" t="str">
        <v>49.199983</v>
      </c>
      <c r="G125" t="str">
        <v xml:space="preserve"> -0.1501742</v>
      </c>
      <c r="H125" t="str">
        <v>DALLE A FAIRE</v>
      </c>
      <c r="I125" t="str">
        <v>A AGRANDIR</v>
      </c>
    </row>
    <row r="126" spans="1:9" x14ac:dyDescent="0.25">
      <c r="A126" s="109">
        <v>125</v>
      </c>
      <c r="B126" s="109">
        <v>24</v>
      </c>
      <c r="C126">
        <v>14045</v>
      </c>
      <c r="D126" t="str">
        <v>Basseneville</v>
      </c>
      <c r="E126" t="str">
        <v>Dalle PDR</v>
      </c>
      <c r="F126" t="str">
        <v>49.20935103640219</v>
      </c>
      <c r="G126" t="str">
        <v xml:space="preserve"> -0.15287255054911186</v>
      </c>
      <c r="H126" t="str">
        <v>DALLE A FAIRE</v>
      </c>
      <c r="I126" t="str">
        <v>A AGRANDIR</v>
      </c>
    </row>
    <row r="127" spans="1:9" x14ac:dyDescent="0.25">
      <c r="A127" s="109">
        <v>126</v>
      </c>
      <c r="B127" s="109">
        <v>24</v>
      </c>
      <c r="C127">
        <v>14524</v>
      </c>
      <c r="D127" t="str">
        <v>Putot-en-Auge</v>
      </c>
      <c r="E127" t="str">
        <v>Dalle cabane à cartons</v>
      </c>
      <c r="F127" t="str">
        <v>49.221084181777954</v>
      </c>
      <c r="G127" t="str">
        <v xml:space="preserve"> -0.07562742766276201</v>
      </c>
      <c r="H127" t="str">
        <v>DALLE A FAIRE</v>
      </c>
      <c r="I127" t="str">
        <v/>
      </c>
    </row>
    <row r="128" spans="1:9" x14ac:dyDescent="0.25">
      <c r="A128" s="109">
        <v>127</v>
      </c>
      <c r="B128" s="109">
        <v>26</v>
      </c>
      <c r="C128">
        <v>14046</v>
      </c>
      <c r="D128" t="str">
        <v>Bavent</v>
      </c>
      <c r="E128" t="str">
        <v>Dalle PDR</v>
      </c>
      <c r="F128" t="str">
        <v>49.2348809</v>
      </c>
      <c r="G128" t="str">
        <v xml:space="preserve"> -0.1450995</v>
      </c>
      <c r="H128" t="str">
        <v>DALLE A FAIRE</v>
      </c>
      <c r="I128" t="str">
        <v>A AMÉNAGER</v>
      </c>
    </row>
    <row r="129" spans="1:9" x14ac:dyDescent="0.25">
      <c r="A129" s="109">
        <v>128</v>
      </c>
      <c r="B129" s="109">
        <v>26</v>
      </c>
      <c r="C129">
        <v>14046</v>
      </c>
      <c r="D129" t="str">
        <v>Bavent</v>
      </c>
      <c r="E129" t="str">
        <v>Dalle PDR</v>
      </c>
      <c r="F129" t="str">
        <v>49.2347951</v>
      </c>
      <c r="G129" t="str">
        <v xml:space="preserve"> -0.1484656</v>
      </c>
      <c r="H129" t="str">
        <v>DALLE A FAIRE</v>
      </c>
      <c r="I129" t="str">
        <v>A CRÉER</v>
      </c>
    </row>
    <row r="130" spans="1:9" x14ac:dyDescent="0.25">
      <c r="A130" s="109">
        <v>129</v>
      </c>
      <c r="B130" s="109">
        <v>26</v>
      </c>
      <c r="C130">
        <v>14046</v>
      </c>
      <c r="D130" t="str">
        <v>Bavent</v>
      </c>
      <c r="E130" t="str">
        <v>Dalle PDR</v>
      </c>
      <c r="F130" t="str">
        <v>49.2321592</v>
      </c>
      <c r="G130" t="str">
        <v xml:space="preserve"> -0.1931164</v>
      </c>
      <c r="H130" t="str">
        <v>DALLE A FAIRE</v>
      </c>
      <c r="I130" t="str">
        <v>A CRÉER</v>
      </c>
    </row>
    <row r="131" spans="1:9" x14ac:dyDescent="0.25">
      <c r="A131" s="109">
        <v>130</v>
      </c>
      <c r="B131" s="109">
        <v>26</v>
      </c>
      <c r="C131">
        <v>14046</v>
      </c>
      <c r="D131" t="str">
        <v>Bavent</v>
      </c>
      <c r="E131" t="str">
        <v>Dalle PDR</v>
      </c>
      <c r="F131" t="str">
        <v>49.25551005587573</v>
      </c>
      <c r="G131" t="str">
        <v xml:space="preserve"> -0.1333894879310426</v>
      </c>
      <c r="H131" t="str">
        <v>DALLE A FAIRE</v>
      </c>
      <c r="I131" t="str">
        <v>A CRÉER</v>
      </c>
    </row>
    <row r="132" spans="1:9" x14ac:dyDescent="0.25">
      <c r="A132" s="109">
        <v>131</v>
      </c>
      <c r="B132" s="109">
        <v>26</v>
      </c>
      <c r="C132">
        <v>14046</v>
      </c>
      <c r="D132" t="str">
        <v>Bavent</v>
      </c>
      <c r="E132" t="str">
        <v>Dalle PDR</v>
      </c>
      <c r="F132" t="str">
        <v>49.2305566</v>
      </c>
      <c r="G132" t="str">
        <v xml:space="preserve"> -0.1973569</v>
      </c>
      <c r="H132" t="str">
        <v>DALLE A FAIRE</v>
      </c>
      <c r="I132" t="str">
        <v>A CRÉER</v>
      </c>
    </row>
    <row r="133" spans="1:9" x14ac:dyDescent="0.25">
      <c r="A133" s="109">
        <v>132</v>
      </c>
      <c r="B133" s="109">
        <v>26</v>
      </c>
      <c r="C133">
        <v>14046</v>
      </c>
      <c r="D133" t="str">
        <v>Bavent</v>
      </c>
      <c r="E133" t="str">
        <v>Dalle borne à verre</v>
      </c>
      <c r="F133" t="str">
        <v>49.23489736377922</v>
      </c>
      <c r="G133" t="str">
        <v xml:space="preserve"> -0.14660517272742066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26</v>
      </c>
      <c r="C134">
        <v>14046</v>
      </c>
      <c r="D134" t="str">
        <v>Bavent</v>
      </c>
      <c r="E134" t="str">
        <v>Dalle borne à verre</v>
      </c>
      <c r="F134" t="str">
        <v>49.23835257305759</v>
      </c>
      <c r="G134" t="str">
        <v xml:space="preserve"> -0.18889293695664308</v>
      </c>
      <c r="H134" t="str">
        <v>DALLE A FAIRE</v>
      </c>
      <c r="I134" t="str">
        <v/>
      </c>
    </row>
    <row r="135" spans="1:9" x14ac:dyDescent="0.25">
      <c r="A135" s="109">
        <v>134</v>
      </c>
      <c r="B135" s="109">
        <v>27</v>
      </c>
      <c r="C135">
        <v>14530</v>
      </c>
      <c r="D135" t="str">
        <v>Ranville</v>
      </c>
      <c r="E135" t="str">
        <v>Dalle cabane à cartons</v>
      </c>
      <c r="F135" t="str">
        <v>49.21779033943015</v>
      </c>
      <c r="G135" t="str">
        <v xml:space="preserve"> -0.2819560913042083</v>
      </c>
      <c r="H135" t="str">
        <v>DALLE A FAIRE</v>
      </c>
      <c r="I135" t="str">
        <v/>
      </c>
    </row>
    <row r="136" spans="1:9" x14ac:dyDescent="0.25">
      <c r="A136" s="109">
        <v>135</v>
      </c>
      <c r="B136" s="109">
        <v>27</v>
      </c>
      <c r="C136">
        <v>14530</v>
      </c>
      <c r="D136" t="str">
        <v>Ranville</v>
      </c>
      <c r="E136" t="str">
        <v>Dalle borne à verre</v>
      </c>
      <c r="F136" t="str">
        <v>49.21778458290554</v>
      </c>
      <c r="G136" t="str">
        <v xml:space="preserve"> -0.2819500579137171</v>
      </c>
      <c r="H136" t="str">
        <v>DALLE A FAIRE</v>
      </c>
      <c r="I136" t="str">
        <v/>
      </c>
    </row>
    <row r="137" spans="1:9" x14ac:dyDescent="0.25">
      <c r="A137" s="109">
        <v>136</v>
      </c>
      <c r="B137" s="109">
        <v>28</v>
      </c>
      <c r="C137">
        <v>14246</v>
      </c>
      <c r="D137" t="str">
        <v>Escoville</v>
      </c>
      <c r="E137" t="str">
        <v>Dalle cabane à cartons</v>
      </c>
      <c r="F137" t="str">
        <v>49.210131672560685</v>
      </c>
      <c r="G137" t="str">
        <v xml:space="preserve"> -0.23835679485422115</v>
      </c>
      <c r="H137" t="str">
        <v>DALLE A FAIRE</v>
      </c>
      <c r="I137" t="str">
        <v/>
      </c>
    </row>
    <row r="138" spans="1:9" x14ac:dyDescent="0.25">
      <c r="A138" s="109">
        <v>137</v>
      </c>
      <c r="B138" s="109">
        <v>29</v>
      </c>
      <c r="C138">
        <v>14106</v>
      </c>
      <c r="D138" t="str">
        <v>Bréville-les-Monts</v>
      </c>
      <c r="E138" t="str">
        <v>Dalle PDR</v>
      </c>
      <c r="F138" t="str">
        <v>49.2243252</v>
      </c>
      <c r="G138" t="str">
        <v xml:space="preserve"> -0.2265394</v>
      </c>
      <c r="H138" t="str">
        <v>DALLE A FAIRE</v>
      </c>
      <c r="I138" t="str">
        <v>A AGRANDIR</v>
      </c>
    </row>
    <row r="139" spans="1:9" x14ac:dyDescent="0.25">
      <c r="A139" s="109">
        <v>138</v>
      </c>
      <c r="B139" s="109">
        <v>29</v>
      </c>
      <c r="C139">
        <v>14106</v>
      </c>
      <c r="D139" t="str">
        <v>Bréville-les-Monts</v>
      </c>
      <c r="E139" t="str">
        <v>Dalle borne à verre</v>
      </c>
      <c r="F139" t="str">
        <v>49.24513</v>
      </c>
      <c r="G139" t="str">
        <v xml:space="preserve"> -0.20131</v>
      </c>
      <c r="H139" t="str">
        <v>DALLE A FAIRE</v>
      </c>
      <c r="I139" t="str">
        <v/>
      </c>
    </row>
    <row r="140" spans="1:9" x14ac:dyDescent="0.25">
      <c r="A140" s="109">
        <v>139</v>
      </c>
      <c r="B140" s="109">
        <v>30</v>
      </c>
      <c r="C140">
        <v>14024</v>
      </c>
      <c r="D140" t="str">
        <v>Auberville</v>
      </c>
      <c r="E140" t="str">
        <v>Dalle PDR</v>
      </c>
      <c r="F140" t="str">
        <v>49.3065861</v>
      </c>
      <c r="G140" t="str">
        <v xml:space="preserve"> -0.0288498</v>
      </c>
      <c r="H140" t="str">
        <v>DALLE A FAIRE</v>
      </c>
      <c r="I140" t="str">
        <v>A AMÉNAGER</v>
      </c>
    </row>
    <row r="141" spans="1:9" x14ac:dyDescent="0.25">
      <c r="A141" s="109">
        <v>140</v>
      </c>
      <c r="B141" s="109">
        <v>30</v>
      </c>
      <c r="C141">
        <v>14024</v>
      </c>
      <c r="D141" t="str">
        <v>Auberville</v>
      </c>
      <c r="E141" t="str">
        <v>Dalle PDR</v>
      </c>
      <c r="F141" t="str">
        <v>49.31762117435177</v>
      </c>
      <c r="G141" t="str">
        <v xml:space="preserve"> -0.015299902973347072</v>
      </c>
      <c r="H141" t="str">
        <v>DALLE A FAIRE</v>
      </c>
      <c r="I141" t="str">
        <v>A AMÉNAGER</v>
      </c>
    </row>
    <row r="142" spans="1:9" x14ac:dyDescent="0.25">
      <c r="A142" s="109">
        <v>141</v>
      </c>
      <c r="B142" s="109">
        <v>30</v>
      </c>
      <c r="C142">
        <v>14329</v>
      </c>
      <c r="D142" t="str">
        <v>Heuland</v>
      </c>
      <c r="E142" t="str">
        <v>Dalle PDR</v>
      </c>
      <c r="F142" t="str">
        <v>49.2577836</v>
      </c>
      <c r="G142" t="str">
        <v xml:space="preserve"> -0.0030953</v>
      </c>
      <c r="H142" t="str">
        <v>DALLE A FAIRE</v>
      </c>
      <c r="I142" t="str">
        <v>A AGRANDIR</v>
      </c>
    </row>
    <row r="143" spans="1:9" x14ac:dyDescent="0.25">
      <c r="A143" s="109">
        <v>142</v>
      </c>
      <c r="B143" s="109">
        <v>30</v>
      </c>
      <c r="C143">
        <v>14606</v>
      </c>
      <c r="D143" t="str">
        <v>Saint-Léger-Dubosq</v>
      </c>
      <c r="E143" t="str">
        <v>Dalle PDR</v>
      </c>
      <c r="F143" t="str">
        <v>49.23393579016323</v>
      </c>
      <c r="G143" t="str">
        <v xml:space="preserve"> -0.0036251905269772257</v>
      </c>
      <c r="H143" t="str">
        <v>DALLE A FAIRE</v>
      </c>
      <c r="I143" t="str">
        <v>A AGRANDIR</v>
      </c>
    </row>
    <row r="144" spans="1:9" x14ac:dyDescent="0.25">
      <c r="A144" s="109">
        <v>143</v>
      </c>
      <c r="B144" s="109">
        <v>33</v>
      </c>
      <c r="C144">
        <v>14660</v>
      </c>
      <c r="D144" t="str">
        <v>Saint-Vaast-en-Auge</v>
      </c>
      <c r="E144" t="str">
        <v>Dalle borne à verre</v>
      </c>
      <c r="F144" t="str">
        <v>49.28914895086987</v>
      </c>
      <c r="G144" t="str">
        <v xml:space="preserve"> 0.0016159300596542358</v>
      </c>
      <c r="H144" t="str">
        <v>DALLE A FAIRE</v>
      </c>
      <c r="I144" t="str">
        <v/>
      </c>
    </row>
    <row r="145" spans="1:2" x14ac:dyDescent="0.25">
      <c r="A145" s="109"/>
      <c r="B145" s="109"/>
    </row>
    <row r="146" spans="1:2" x14ac:dyDescent="0.25">
      <c r="A146" s="109"/>
      <c r="B146" s="109"/>
    </row>
    <row r="147" spans="1:2" x14ac:dyDescent="0.25">
      <c r="A147" s="109"/>
      <c r="B147" s="109"/>
    </row>
    <row r="148" spans="1:2" x14ac:dyDescent="0.25">
      <c r="A148" s="109"/>
      <c r="B148" s="109"/>
    </row>
    <row r="149" spans="1:2" x14ac:dyDescent="0.25">
      <c r="A149" s="109"/>
      <c r="B149" s="10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22" t="s">
        <v>464</v>
      </c>
      <c r="B1" s="122"/>
      <c r="C1" s="122"/>
      <c r="D1" s="122"/>
      <c r="E1" s="122"/>
      <c r="F1" s="122"/>
      <c r="G1" s="122"/>
      <c r="H1" s="122"/>
    </row>
    <row r="2" spans="1:8" x14ac:dyDescent="0.25">
      <c r="A2" s="123" t="s">
        <v>465</v>
      </c>
      <c r="B2" s="123"/>
      <c r="C2" s="123"/>
      <c r="D2" s="123"/>
      <c r="E2" s="123"/>
      <c r="F2" s="123"/>
      <c r="G2" s="123"/>
      <c r="H2" s="123"/>
    </row>
    <row r="4" spans="1:8" ht="21.95" customHeight="1" x14ac:dyDescent="0.3">
      <c r="A4" s="124" t="s">
        <v>466</v>
      </c>
      <c r="B4" s="125"/>
      <c r="C4" s="125"/>
      <c r="D4" s="125"/>
      <c r="E4" s="125"/>
      <c r="F4" s="125"/>
      <c r="G4" s="125"/>
      <c r="H4" s="125"/>
    </row>
    <row r="5" spans="1:8" ht="33.950000000000003" customHeight="1" x14ac:dyDescent="0.25">
      <c r="A5" s="73" t="s">
        <v>73</v>
      </c>
      <c r="B5" s="73" t="s">
        <v>75</v>
      </c>
      <c r="C5" s="73" t="s">
        <v>452</v>
      </c>
      <c r="D5" s="73" t="s">
        <v>467</v>
      </c>
      <c r="E5" s="73" t="s">
        <v>440</v>
      </c>
      <c r="F5" s="73" t="s">
        <v>441</v>
      </c>
      <c r="G5" s="73" t="s">
        <v>468</v>
      </c>
      <c r="H5" s="73" t="s">
        <v>469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77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3</v>
      </c>
      <c r="G6" s="83" cm="1">
        <f t="array" ref="G6:G43">_xlfn.SORTBY('PRIORISATION-1'!$F$24:$F$61,'PRIORISATION-1'!$H$24:$H$61,-1)</f>
        <v>3</v>
      </c>
      <c r="H6" s="84">
        <f>E6+F6+G6</f>
        <v>8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Victot-en-Auge</v>
      </c>
      <c r="C9" s="81">
        <v>64</v>
      </c>
      <c r="D9" s="81" t="str">
        <v>P1 - Critique</v>
      </c>
      <c r="E9" s="85">
        <v>2</v>
      </c>
      <c r="F9" s="85">
        <v>6</v>
      </c>
      <c r="G9" s="85">
        <v>1</v>
      </c>
      <c r="H9" s="86">
        <f t="shared" si="0"/>
        <v>9</v>
      </c>
    </row>
    <row r="10" spans="1:8" x14ac:dyDescent="0.25">
      <c r="A10" s="78">
        <v>5</v>
      </c>
      <c r="B10" s="75" t="str">
        <v>Gonneville-sur-Mer</v>
      </c>
      <c r="C10" s="81">
        <v>63</v>
      </c>
      <c r="D10" s="81" t="str">
        <v>P1 - Critique</v>
      </c>
      <c r="E10" s="85">
        <v>0</v>
      </c>
      <c r="F10" s="85">
        <v>10</v>
      </c>
      <c r="G10" s="85">
        <v>2</v>
      </c>
      <c r="H10" s="86">
        <f t="shared" si="0"/>
        <v>12</v>
      </c>
    </row>
    <row r="11" spans="1:8" x14ac:dyDescent="0.25">
      <c r="A11" s="78">
        <v>6</v>
      </c>
      <c r="B11" s="75" t="str">
        <v>Dozulé</v>
      </c>
      <c r="C11" s="81">
        <v>59</v>
      </c>
      <c r="D11" s="81" t="str">
        <v>P1 - Critique</v>
      </c>
      <c r="E11" s="85">
        <v>3</v>
      </c>
      <c r="F11" s="85">
        <v>9</v>
      </c>
      <c r="G11" s="85">
        <v>1</v>
      </c>
      <c r="H11" s="86">
        <f t="shared" si="0"/>
        <v>13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Gonneville-en-Auge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Sallenelles</v>
      </c>
      <c r="C14" s="81">
        <v>49</v>
      </c>
      <c r="D14" s="81" t="str">
        <v>P2 - Haute</v>
      </c>
      <c r="E14" s="85">
        <v>1</v>
      </c>
      <c r="F14" s="85">
        <v>2</v>
      </c>
      <c r="G14" s="85">
        <v>1</v>
      </c>
      <c r="H14" s="86">
        <f t="shared" si="0"/>
        <v>4</v>
      </c>
    </row>
    <row r="15" spans="1:8" x14ac:dyDescent="0.25">
      <c r="A15" s="78">
        <v>10</v>
      </c>
      <c r="B15" s="75" t="str">
        <v>Varaville</v>
      </c>
      <c r="C15" s="81">
        <v>49</v>
      </c>
      <c r="D15" s="81" t="str">
        <v>P2 - Haute</v>
      </c>
      <c r="E15" s="85">
        <v>0</v>
      </c>
      <c r="F15" s="85">
        <v>5</v>
      </c>
      <c r="G15" s="85">
        <v>1</v>
      </c>
      <c r="H15" s="86">
        <f t="shared" si="0"/>
        <v>6</v>
      </c>
    </row>
    <row r="16" spans="1:8" x14ac:dyDescent="0.25">
      <c r="A16" s="78">
        <v>11</v>
      </c>
      <c r="B16" s="75" t="str">
        <v>Merville-Franceville-Plage</v>
      </c>
      <c r="C16" s="81">
        <v>48</v>
      </c>
      <c r="D16" s="81" t="str">
        <v>P2 - Haute</v>
      </c>
      <c r="E16" s="85">
        <v>0</v>
      </c>
      <c r="F16" s="85">
        <v>2</v>
      </c>
      <c r="G16" s="85">
        <v>2</v>
      </c>
      <c r="H16" s="86">
        <f t="shared" si="0"/>
        <v>4</v>
      </c>
    </row>
    <row r="17" spans="1:8" x14ac:dyDescent="0.25">
      <c r="A17" s="78">
        <v>12</v>
      </c>
      <c r="B17" s="75" t="str">
        <v>Angerville</v>
      </c>
      <c r="C17" s="81">
        <v>45</v>
      </c>
      <c r="D17" s="81" t="str">
        <v>P2 - Haute</v>
      </c>
      <c r="E17" s="85">
        <v>0</v>
      </c>
      <c r="F17" s="85">
        <v>4</v>
      </c>
      <c r="G17" s="85">
        <v>0</v>
      </c>
      <c r="H17" s="86">
        <f t="shared" si="0"/>
        <v>4</v>
      </c>
    </row>
    <row r="18" spans="1:8" x14ac:dyDescent="0.25">
      <c r="A18" s="78">
        <v>13</v>
      </c>
      <c r="B18" s="75" t="str">
        <v>Cricqueville-en-Auge</v>
      </c>
      <c r="C18" s="81">
        <v>45</v>
      </c>
      <c r="D18" s="81" t="str">
        <v>P2 - Haute</v>
      </c>
      <c r="E18" s="85">
        <v>1</v>
      </c>
      <c r="F18" s="85">
        <v>1</v>
      </c>
      <c r="G18" s="85">
        <v>0</v>
      </c>
      <c r="H18" s="86">
        <f t="shared" si="0"/>
        <v>2</v>
      </c>
    </row>
    <row r="19" spans="1:8" x14ac:dyDescent="0.25">
      <c r="A19" s="78">
        <v>14</v>
      </c>
      <c r="B19" s="75" t="str">
        <v>Rumesnil</v>
      </c>
      <c r="C19" s="81">
        <v>44</v>
      </c>
      <c r="D19" s="81" t="str">
        <v>P2 - Haute</v>
      </c>
      <c r="E19" s="85">
        <v>0</v>
      </c>
      <c r="F19" s="85">
        <v>2</v>
      </c>
      <c r="G19" s="85">
        <v>1</v>
      </c>
      <c r="H19" s="86">
        <f t="shared" si="0"/>
        <v>3</v>
      </c>
    </row>
    <row r="20" spans="1:8" x14ac:dyDescent="0.25">
      <c r="A20" s="78">
        <v>15</v>
      </c>
      <c r="B20" s="75" t="str">
        <v>Hotot-en-Auge</v>
      </c>
      <c r="C20" s="81">
        <v>40</v>
      </c>
      <c r="D20" s="81" t="str">
        <v>P2 - Haute</v>
      </c>
      <c r="E20" s="85">
        <v>0</v>
      </c>
      <c r="F20" s="85">
        <v>2</v>
      </c>
      <c r="G20" s="85">
        <v>0</v>
      </c>
      <c r="H20" s="86">
        <f t="shared" si="0"/>
        <v>2</v>
      </c>
    </row>
    <row r="21" spans="1:8" x14ac:dyDescent="0.25">
      <c r="A21" s="78">
        <v>16</v>
      </c>
      <c r="B21" s="75" t="str">
        <v>Beuvron-en-Auge</v>
      </c>
      <c r="C21" s="81">
        <v>40</v>
      </c>
      <c r="D21" s="81" t="str">
        <v>P2 - Haute</v>
      </c>
      <c r="E21" s="85">
        <v>2</v>
      </c>
      <c r="F21" s="85">
        <v>2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Saint-Jouin</v>
      </c>
      <c r="C22" s="81">
        <v>40</v>
      </c>
      <c r="D22" s="81" t="str">
        <v>P2 - Haute</v>
      </c>
      <c r="E22" s="85">
        <v>1</v>
      </c>
      <c r="F22" s="85">
        <v>3</v>
      </c>
      <c r="G22" s="85">
        <v>0</v>
      </c>
      <c r="H22" s="86">
        <f t="shared" si="0"/>
        <v>4</v>
      </c>
    </row>
    <row r="23" spans="1:8" x14ac:dyDescent="0.25">
      <c r="A23" s="78">
        <v>18</v>
      </c>
      <c r="B23" s="75" t="str">
        <v>Douville-en-Auge</v>
      </c>
      <c r="C23" s="81">
        <v>39</v>
      </c>
      <c r="D23" s="81" t="str">
        <v>P3 - Moyenne</v>
      </c>
      <c r="E23" s="85">
        <v>0</v>
      </c>
      <c r="F23" s="85">
        <v>3</v>
      </c>
      <c r="G23" s="85">
        <v>1</v>
      </c>
      <c r="H23" s="86">
        <f t="shared" si="0"/>
        <v>4</v>
      </c>
    </row>
    <row r="24" spans="1:8" x14ac:dyDescent="0.25">
      <c r="A24" s="78">
        <v>19</v>
      </c>
      <c r="B24" s="75" t="str">
        <v>Beaufour-Druval</v>
      </c>
      <c r="C24" s="81">
        <v>35</v>
      </c>
      <c r="D24" s="81" t="str">
        <v>P3 - Moyenne</v>
      </c>
      <c r="E24" s="85">
        <v>1</v>
      </c>
      <c r="F24" s="85">
        <v>1</v>
      </c>
      <c r="G24" s="85">
        <v>0</v>
      </c>
      <c r="H24" s="86">
        <f t="shared" si="0"/>
        <v>2</v>
      </c>
    </row>
    <row r="25" spans="1:8" x14ac:dyDescent="0.25">
      <c r="A25" s="78">
        <v>20</v>
      </c>
      <c r="B25" s="75" t="str">
        <v>Cresseveuille</v>
      </c>
      <c r="C25" s="81">
        <v>34</v>
      </c>
      <c r="D25" s="81" t="str">
        <v>P3 - Moyenne</v>
      </c>
      <c r="E25" s="85">
        <v>0</v>
      </c>
      <c r="F25" s="85">
        <v>1</v>
      </c>
      <c r="G25" s="85">
        <v>1</v>
      </c>
      <c r="H25" s="86">
        <f t="shared" si="0"/>
        <v>2</v>
      </c>
    </row>
    <row r="26" spans="1:8" x14ac:dyDescent="0.25">
      <c r="A26" s="78">
        <v>21</v>
      </c>
      <c r="B26" s="75" t="str">
        <v>Amfreville</v>
      </c>
      <c r="C26" s="81">
        <v>33</v>
      </c>
      <c r="D26" s="81" t="str">
        <v>P3 - Moyenne</v>
      </c>
      <c r="E26" s="85">
        <v>1</v>
      </c>
      <c r="F26" s="85">
        <v>1</v>
      </c>
      <c r="G26" s="85">
        <v>2</v>
      </c>
      <c r="H26" s="86">
        <f t="shared" si="0"/>
        <v>4</v>
      </c>
    </row>
    <row r="27" spans="1:8" x14ac:dyDescent="0.25">
      <c r="A27" s="78">
        <v>22</v>
      </c>
      <c r="B27" s="75" t="str">
        <v>Goustranville</v>
      </c>
      <c r="C27" s="81">
        <v>30</v>
      </c>
      <c r="D27" s="81" t="str">
        <v>P3 - Moyenne</v>
      </c>
      <c r="E27" s="85">
        <v>0</v>
      </c>
      <c r="F27" s="85">
        <v>1</v>
      </c>
      <c r="G27" s="85">
        <v>0</v>
      </c>
      <c r="H27" s="86">
        <f t="shared" si="0"/>
        <v>1</v>
      </c>
    </row>
    <row r="28" spans="1:8" x14ac:dyDescent="0.25">
      <c r="A28" s="78">
        <v>23</v>
      </c>
      <c r="B28" s="75" t="str">
        <v>Brucourt</v>
      </c>
      <c r="C28" s="81">
        <v>29</v>
      </c>
      <c r="D28" s="81" t="str">
        <v>P4 - Basse</v>
      </c>
      <c r="E28" s="85">
        <v>0</v>
      </c>
      <c r="F28" s="85">
        <v>3</v>
      </c>
      <c r="G28" s="85">
        <v>1</v>
      </c>
      <c r="H28" s="86">
        <f t="shared" si="0"/>
        <v>4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Bavent</v>
      </c>
      <c r="C31" s="81">
        <v>23</v>
      </c>
      <c r="D31" s="81" t="str">
        <v>P4 - Basse</v>
      </c>
      <c r="E31" s="85">
        <v>0</v>
      </c>
      <c r="F31" s="85">
        <v>5</v>
      </c>
      <c r="G31" s="85">
        <v>2</v>
      </c>
      <c r="H31" s="86">
        <f t="shared" si="0"/>
        <v>7</v>
      </c>
    </row>
    <row r="32" spans="1:8" x14ac:dyDescent="0.25">
      <c r="A32" s="78">
        <v>27</v>
      </c>
      <c r="B32" s="75" t="str">
        <v>Ranville</v>
      </c>
      <c r="C32" s="81">
        <v>19</v>
      </c>
      <c r="D32" s="81" t="str">
        <v>P4 - Basse</v>
      </c>
      <c r="E32" s="85">
        <v>1</v>
      </c>
      <c r="F32" s="85">
        <v>0</v>
      </c>
      <c r="G32" s="85">
        <v>1</v>
      </c>
      <c r="H32" s="86">
        <f t="shared" si="0"/>
        <v>2</v>
      </c>
    </row>
    <row r="33" spans="1:8" x14ac:dyDescent="0.25">
      <c r="A33" s="78">
        <v>28</v>
      </c>
      <c r="B33" s="75" t="str">
        <v>Escoville</v>
      </c>
      <c r="C33" s="81">
        <v>15</v>
      </c>
      <c r="D33" s="81" t="str">
        <v>P4 - Basse</v>
      </c>
      <c r="E33" s="85">
        <v>1</v>
      </c>
      <c r="F33" s="85">
        <v>0</v>
      </c>
      <c r="G33" s="85">
        <v>0</v>
      </c>
      <c r="H33" s="86">
        <f t="shared" si="0"/>
        <v>1</v>
      </c>
    </row>
    <row r="34" spans="1:8" x14ac:dyDescent="0.25">
      <c r="A34" s="78">
        <v>29</v>
      </c>
      <c r="B34" s="75" t="str">
        <v>Bréville-les-Monts</v>
      </c>
      <c r="C34" s="81">
        <v>14</v>
      </c>
      <c r="D34" s="81" t="str">
        <v>P4 - Basse</v>
      </c>
      <c r="E34" s="85">
        <v>0</v>
      </c>
      <c r="F34" s="85">
        <v>1</v>
      </c>
      <c r="G34" s="85">
        <v>1</v>
      </c>
      <c r="H34" s="86">
        <f t="shared" si="0"/>
        <v>2</v>
      </c>
    </row>
    <row r="35" spans="1:8" x14ac:dyDescent="0.25">
      <c r="A35" s="78">
        <v>30</v>
      </c>
      <c r="B35" s="75" t="str">
        <v>Auberville</v>
      </c>
      <c r="C35" s="81">
        <v>10</v>
      </c>
      <c r="D35" s="81" t="str">
        <v>P4 - Basse</v>
      </c>
      <c r="E35" s="85">
        <v>0</v>
      </c>
      <c r="F35" s="85">
        <v>2</v>
      </c>
      <c r="G35" s="85">
        <v>0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1</v>
      </c>
      <c r="G37" s="85">
        <v>0</v>
      </c>
      <c r="H37" s="86">
        <f t="shared" si="0"/>
        <v>1</v>
      </c>
    </row>
    <row r="38" spans="1:8" x14ac:dyDescent="0.25">
      <c r="A38" s="78">
        <v>33</v>
      </c>
      <c r="B38" s="75" t="str">
        <v>Saint-Vaast-en-Auge</v>
      </c>
      <c r="C38" s="81">
        <v>4</v>
      </c>
      <c r="D38" s="81" t="str">
        <v>P4 - Basse</v>
      </c>
      <c r="E38" s="85">
        <v>0</v>
      </c>
      <c r="F38" s="85">
        <v>0</v>
      </c>
      <c r="G38" s="85">
        <v>1</v>
      </c>
      <c r="H38" s="86">
        <f t="shared" si="0"/>
        <v>1</v>
      </c>
    </row>
    <row r="39" spans="1:8" x14ac:dyDescent="0.25">
      <c r="A39" s="78">
        <v>34</v>
      </c>
      <c r="B39" s="75" t="str">
        <v>Hérouvillette</v>
      </c>
      <c r="C39" s="81">
        <v>0</v>
      </c>
      <c r="D39" s="81" t="str">
        <v>P4 - Basse</v>
      </c>
      <c r="E39" s="85">
        <v>0</v>
      </c>
      <c r="F39" s="85">
        <v>0</v>
      </c>
      <c r="G39" s="85">
        <v>0</v>
      </c>
      <c r="H39" s="86">
        <f t="shared" si="0"/>
        <v>0</v>
      </c>
    </row>
    <row r="40" spans="1:8" x14ac:dyDescent="0.25">
      <c r="A40" s="78">
        <v>35</v>
      </c>
      <c r="B40" s="75" t="str">
        <v>Périers-en-Auge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Petiville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Saint-Samson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4" t="s">
        <v>470</v>
      </c>
      <c r="B46" s="125"/>
      <c r="C46" s="125"/>
      <c r="D46" s="125"/>
      <c r="E46" s="125"/>
      <c r="F46" s="125"/>
      <c r="G46" s="125"/>
      <c r="H46" s="125"/>
    </row>
    <row r="47" spans="1:8" ht="33.950000000000003" customHeight="1" x14ac:dyDescent="0.25">
      <c r="A47" s="103" t="s">
        <v>471</v>
      </c>
      <c r="B47" s="104" t="s">
        <v>472</v>
      </c>
      <c r="C47" s="104" t="s">
        <v>440</v>
      </c>
      <c r="D47" s="104" t="s">
        <v>441</v>
      </c>
      <c r="E47" s="104" t="s">
        <v>468</v>
      </c>
      <c r="F47" s="105" t="s">
        <v>473</v>
      </c>
    </row>
    <row r="48" spans="1:8" x14ac:dyDescent="0.25">
      <c r="A48" s="95" t="s">
        <v>474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45</v>
      </c>
      <c r="E48" s="90">
        <f>SUMIF($D$6:$D$43,$A48,G$6:G$43)</f>
        <v>12</v>
      </c>
      <c r="F48" s="91">
        <f>SUMIF($D$6:$D$43,$A48,H$6:H$43)</f>
        <v>66</v>
      </c>
    </row>
    <row r="49" spans="1:8" x14ac:dyDescent="0.25">
      <c r="A49" s="96" t="s">
        <v>475</v>
      </c>
      <c r="B49" s="90">
        <f t="shared" ref="B49:B51" si="1">COUNTIF($D$6:$D$43,$A49)</f>
        <v>10</v>
      </c>
      <c r="C49" s="90">
        <f t="shared" ref="C49:C51" si="2">SUMIF($D$6:$D$43,$A49,E$6:E$43)</f>
        <v>6</v>
      </c>
      <c r="D49" s="90">
        <f t="shared" ref="D49:D51" si="3">SUMIF($D$6:$D$43,$A49,F$6:F$43)</f>
        <v>26</v>
      </c>
      <c r="E49" s="90">
        <f t="shared" ref="E49:E51" si="4">SUMIF($D$6:$D$43,$A49,G$6:G$43)</f>
        <v>6</v>
      </c>
      <c r="F49" s="91">
        <f t="shared" ref="F49:F51" si="5">SUMIF($D$6:$D$43,$A49,H$6:H$43)</f>
        <v>38</v>
      </c>
    </row>
    <row r="50" spans="1:8" x14ac:dyDescent="0.25">
      <c r="A50" s="97" t="s">
        <v>476</v>
      </c>
      <c r="B50" s="90">
        <f t="shared" si="1"/>
        <v>5</v>
      </c>
      <c r="C50" s="90">
        <f t="shared" si="2"/>
        <v>2</v>
      </c>
      <c r="D50" s="90">
        <f t="shared" si="3"/>
        <v>7</v>
      </c>
      <c r="E50" s="90">
        <f t="shared" si="4"/>
        <v>4</v>
      </c>
      <c r="F50" s="91">
        <f t="shared" si="5"/>
        <v>13</v>
      </c>
    </row>
    <row r="51" spans="1:8" x14ac:dyDescent="0.25">
      <c r="A51" s="98" t="s">
        <v>477</v>
      </c>
      <c r="B51" s="90">
        <f t="shared" si="1"/>
        <v>16</v>
      </c>
      <c r="C51" s="90">
        <f t="shared" si="2"/>
        <v>3</v>
      </c>
      <c r="D51" s="90">
        <f t="shared" si="3"/>
        <v>17</v>
      </c>
      <c r="E51" s="90">
        <f t="shared" si="4"/>
        <v>6</v>
      </c>
      <c r="F51" s="91">
        <f t="shared" si="5"/>
        <v>26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20</v>
      </c>
      <c r="D52" s="93">
        <f>SUM(D48:D51)</f>
        <v>95</v>
      </c>
      <c r="E52" s="93">
        <f>SUM(E48:E51)</f>
        <v>28</v>
      </c>
      <c r="F52" s="94">
        <f>SUM(F48:F51)</f>
        <v>143</v>
      </c>
    </row>
    <row r="54" spans="1:8" x14ac:dyDescent="0.25">
      <c r="A54" s="89" t="s">
        <v>478</v>
      </c>
    </row>
    <row r="55" spans="1:8" ht="45.95" customHeight="1" x14ac:dyDescent="0.25">
      <c r="A55" s="99" t="s">
        <v>474</v>
      </c>
      <c r="B55" s="126" t="str" cm="1">
        <f t="array" ref="B55">_xlfn.TEXTJOIN(" / ",TRUE,_xlfn._xlws.FILTER($B$6:$B$43,$D$6:$D$43=$A55))</f>
        <v>Cabourg / Houlgate / Grangues / Victot-en-Auge / Gonneville-sur-Mer / Dozulé / Dives-sur-Mer</v>
      </c>
      <c r="C55" s="127"/>
      <c r="D55" s="127"/>
      <c r="E55" s="127"/>
      <c r="F55" s="127"/>
      <c r="G55" s="127"/>
      <c r="H55" s="127"/>
    </row>
    <row r="56" spans="1:8" ht="45.95" customHeight="1" x14ac:dyDescent="0.25">
      <c r="A56" s="100" t="s">
        <v>475</v>
      </c>
      <c r="B56" s="118" t="str" cm="1">
        <f t="array" ref="B56">_xlfn.TEXTJOIN(" / ",TRUE,_xlfn._xlws.FILTER($B$6:$B$43,$D$6:$D$43=$A56))</f>
        <v>Gonneville-en-Auge / Sallenelles / Varaville / Merville-Franceville-Plage / Angerville / Cricqueville-en-Auge / Rumesnil / Hotot-en-Auge / Beuvron-en-Auge / Saint-Jouin</v>
      </c>
      <c r="C56" s="119"/>
      <c r="D56" s="119"/>
      <c r="E56" s="119"/>
      <c r="F56" s="119"/>
      <c r="G56" s="119"/>
      <c r="H56" s="119"/>
    </row>
    <row r="57" spans="1:8" ht="45.95" customHeight="1" x14ac:dyDescent="0.25">
      <c r="A57" s="101" t="s">
        <v>476</v>
      </c>
      <c r="B57" s="118" t="str" cm="1">
        <f t="array" ref="B57">_xlfn.TEXTJOIN(" / ",TRUE,_xlfn._xlws.FILTER($B$6:$B$43,$D$6:$D$43=$A57))</f>
        <v>Douville-en-Auge / Beaufour-Druval / Cresseveuille / Amfreville / Goustranville</v>
      </c>
      <c r="C57" s="119"/>
      <c r="D57" s="119"/>
      <c r="E57" s="119"/>
      <c r="F57" s="119"/>
      <c r="G57" s="119"/>
      <c r="H57" s="119"/>
    </row>
    <row r="58" spans="1:8" ht="45.95" customHeight="1" x14ac:dyDescent="0.25">
      <c r="A58" s="102" t="s">
        <v>477</v>
      </c>
      <c r="B58" s="120" t="str" cm="1">
        <f t="array" ref="B58">_xlfn.TEXTJOIN(" / ",TRUE,_xlfn._xlws.FILTER($B$6:$B$43,$D$6:$D$43=$A58))</f>
        <v>Brucourt / Basseneville / Putot-en-Auge / Bavent / Ranville / Escoville / Bréville-les-Monts / Auberville / Heuland / Saint-Léger-Dubosq / Saint-Vaast-en-Auge / Hérouvillette / Périers-en-Auge / Petiville / Saint-Samson / Touffréville</v>
      </c>
      <c r="C58" s="121"/>
      <c r="D58" s="121"/>
      <c r="E58" s="121"/>
      <c r="F58" s="121"/>
      <c r="G58" s="121"/>
      <c r="H58" s="121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10" priority="1" operator="containsText" text="P1 - Critique">
      <formula>NOT(ISERROR(SEARCH("P1 - Critique",D6)))</formula>
    </cfRule>
    <cfRule type="containsText" dxfId="9" priority="2" operator="containsText" text="P2 - Haute">
      <formula>NOT(ISERROR(SEARCH("P2 - Haute",D6)))</formula>
    </cfRule>
    <cfRule type="containsText" dxfId="8" priority="3" operator="containsText" text="P3 - Moyenne">
      <formula>NOT(ISERROR(SEARCH("P3 - Moyenne",D6)))</formula>
    </cfRule>
    <cfRule type="containsText" dxfId="7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35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spans="1:26" x14ac:dyDescent="0.25">
      <c r="A2" s="136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</row>
    <row r="3" spans="1:26" ht="14.1" customHeight="1" x14ac:dyDescent="0.25">
      <c r="A3" s="137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</row>
    <row r="5" spans="1:26" ht="18" customHeight="1" thickBot="1" x14ac:dyDescent="0.3">
      <c r="A5" s="138" t="s">
        <v>3</v>
      </c>
      <c r="B5" s="138" t="s">
        <v>4</v>
      </c>
      <c r="C5" s="139" t="s">
        <v>5</v>
      </c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40" t="s">
        <v>6</v>
      </c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</row>
    <row r="6" spans="1:26" ht="15.95" customHeight="1" x14ac:dyDescent="0.25">
      <c r="A6" s="129"/>
      <c r="B6" s="129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41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34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34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34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42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34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34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43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34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34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34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34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44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34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34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34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34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45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34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34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33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34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34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34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30" t="s">
        <v>19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</row>
    <row r="36" spans="2:26" ht="15" customHeight="1" x14ac:dyDescent="0.25">
      <c r="D36" s="38"/>
      <c r="E36" s="130" t="s">
        <v>24</v>
      </c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</row>
    <row r="37" spans="2:26" ht="15" customHeight="1" x14ac:dyDescent="0.25">
      <c r="D37" s="39"/>
      <c r="E37" s="130" t="s">
        <v>28</v>
      </c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</row>
    <row r="38" spans="2:26" ht="15" customHeight="1" x14ac:dyDescent="0.25">
      <c r="D38" s="40"/>
      <c r="E38" s="130" t="s">
        <v>34</v>
      </c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</row>
    <row r="39" spans="2:26" ht="15" customHeight="1" x14ac:dyDescent="0.25">
      <c r="D39" s="41"/>
      <c r="E39" s="130" t="s">
        <v>52</v>
      </c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</row>
    <row r="40" spans="2:26" ht="15" customHeight="1" x14ac:dyDescent="0.25">
      <c r="D40" s="42"/>
      <c r="E40" s="130" t="s">
        <v>44</v>
      </c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</row>
    <row r="41" spans="2:26" ht="15" customHeight="1" x14ac:dyDescent="0.25">
      <c r="D41" s="43"/>
      <c r="E41" s="130" t="s">
        <v>49</v>
      </c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</row>
    <row r="43" spans="2:26" ht="15" customHeight="1" x14ac:dyDescent="0.25">
      <c r="E43" s="130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</row>
    <row r="44" spans="2:26" ht="15" customHeight="1" x14ac:dyDescent="0.25">
      <c r="E44" s="130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</row>
    <row r="46" spans="2:26" ht="15" customHeight="1" x14ac:dyDescent="0.25">
      <c r="E46" s="131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</row>
    <row r="47" spans="2:26" x14ac:dyDescent="0.25">
      <c r="B47" s="132"/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</row>
    <row r="49" spans="2:26" x14ac:dyDescent="0.25">
      <c r="B49" s="128"/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8" t="s">
        <v>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8" ht="15" customHeight="1" x14ac:dyDescent="0.25">
      <c r="A2" s="150" t="s">
        <v>54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</row>
    <row r="3" spans="1:18" ht="15" customHeight="1" x14ac:dyDescent="0.25">
      <c r="A3" s="151" t="s">
        <v>55</v>
      </c>
      <c r="B3" s="127"/>
      <c r="C3" s="127"/>
    </row>
    <row r="4" spans="1:18" ht="15" customHeight="1" x14ac:dyDescent="0.25">
      <c r="A4" s="147" t="s">
        <v>56</v>
      </c>
      <c r="B4" s="127"/>
      <c r="C4" s="25">
        <v>46305</v>
      </c>
      <c r="D4" s="30" t="s">
        <v>57</v>
      </c>
    </row>
    <row r="5" spans="1:18" ht="15" customHeight="1" x14ac:dyDescent="0.25">
      <c r="A5" s="147" t="s">
        <v>58</v>
      </c>
      <c r="B5" s="127"/>
      <c r="C5" s="2">
        <v>5</v>
      </c>
      <c r="D5" s="1" t="s">
        <v>59</v>
      </c>
    </row>
    <row r="6" spans="1:18" ht="15" customHeight="1" x14ac:dyDescent="0.25">
      <c r="A6" s="149" t="s">
        <v>60</v>
      </c>
      <c r="B6" s="127"/>
      <c r="C6" s="3">
        <f>15/MAX(C5,1)</f>
        <v>3</v>
      </c>
    </row>
    <row r="7" spans="1:18" ht="15" customHeight="1" x14ac:dyDescent="0.25">
      <c r="A7" s="152" t="s">
        <v>61</v>
      </c>
      <c r="B7" s="127"/>
      <c r="C7" s="127"/>
    </row>
    <row r="8" spans="1:18" ht="15" customHeight="1" x14ac:dyDescent="0.25">
      <c r="A8" s="147" t="s">
        <v>62</v>
      </c>
      <c r="B8" s="127"/>
      <c r="C8" s="2">
        <v>30</v>
      </c>
      <c r="D8" s="1" t="s">
        <v>63</v>
      </c>
    </row>
    <row r="9" spans="1:18" ht="15" customHeight="1" x14ac:dyDescent="0.25">
      <c r="A9" s="147" t="s">
        <v>64</v>
      </c>
      <c r="B9" s="127"/>
      <c r="C9" s="2">
        <v>5</v>
      </c>
    </row>
    <row r="10" spans="1:18" ht="15" customHeight="1" x14ac:dyDescent="0.25">
      <c r="A10" s="147" t="s">
        <v>65</v>
      </c>
      <c r="B10" s="127"/>
      <c r="C10" s="2">
        <v>15</v>
      </c>
      <c r="D10" s="1" t="s">
        <v>66</v>
      </c>
    </row>
    <row r="11" spans="1:18" ht="15" customHeight="1" x14ac:dyDescent="0.25">
      <c r="A11" s="147" t="s">
        <v>67</v>
      </c>
      <c r="B11" s="127"/>
      <c r="C11" s="2">
        <v>5</v>
      </c>
    </row>
    <row r="12" spans="1:18" ht="15" customHeight="1" x14ac:dyDescent="0.25">
      <c r="A12" s="147" t="s">
        <v>68</v>
      </c>
      <c r="B12" s="127"/>
      <c r="C12" s="2">
        <v>7</v>
      </c>
      <c r="D12" s="1" t="s">
        <v>69</v>
      </c>
    </row>
    <row r="13" spans="1:18" ht="15" customHeight="1" x14ac:dyDescent="0.25">
      <c r="A13" s="147" t="s">
        <v>70</v>
      </c>
      <c r="B13" s="127"/>
      <c r="C13" s="4">
        <f>C8+C9+C10+C11</f>
        <v>55</v>
      </c>
    </row>
    <row r="14" spans="1:18" ht="15" customHeight="1" x14ac:dyDescent="0.25">
      <c r="A14" s="147" t="s">
        <v>71</v>
      </c>
      <c r="B14" s="127"/>
      <c r="C14" s="27">
        <f ca="1">TODAY()</f>
        <v>46309</v>
      </c>
    </row>
    <row r="15" spans="1:18" ht="15" customHeight="1" x14ac:dyDescent="0.25">
      <c r="M15" s="146" t="s">
        <v>72</v>
      </c>
      <c r="N15" s="127"/>
      <c r="O15" s="127"/>
      <c r="P15" s="127"/>
      <c r="Q15" s="127"/>
      <c r="R15" s="127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⚠ Amont à lancer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Bientôt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6" priority="4" operator="equal">
      <formula>"⚠ Amont à lancer"</formula>
    </cfRule>
  </conditionalFormatting>
  <conditionalFormatting sqref="M18:X141">
    <cfRule type="cellIs" dxfId="5" priority="2" operator="equal">
      <formula>"C"</formula>
    </cfRule>
    <cfRule type="cellIs" dxfId="4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2026-10-14T07:41:23Z</dcterms:modified>
  <cp:category/>
  <cp:contentStatus/>
</cp:coreProperties>
</file>