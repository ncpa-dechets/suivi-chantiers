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3A0372B4-AF0F-4D41-B918-0878077BC63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BDD_SUIVI_CHANTIERS" sheetId="10" r:id="rId1"/>
    <sheet name="PRIORISATION" sheetId="12" r:id="rId2"/>
    <sheet name="PRESENTATION" sheetId="13" r:id="rId3"/>
    <sheet name="CHANTIERS" sheetId="3" r:id="rId4"/>
    <sheet name="RETROPLANNING_VISUEL" sheetId="4" r:id="rId5"/>
    <sheet name="RETROPLANNING" sheetId="1" r:id="rId6"/>
    <sheet name="SYNTHESE_TRAVAUX" sheetId="2" r:id="rId7"/>
    <sheet name="Feuil1" sheetId="11" r:id="rId8"/>
  </sheets>
  <externalReferences>
    <externalReference r:id="rId9"/>
  </externalReferences>
  <definedNames>
    <definedName name="_xlnm._FilterDatabase" localSheetId="7" hidden="1">Feuil1!$D$2:$F$2</definedName>
    <definedName name="_xlnm._FilterDatabase" localSheetId="1" hidden="1">PRIORISATION!$A$23:$I$61</definedName>
    <definedName name="DonnéesExternes_2" localSheetId="0" hidden="1">BDD_SUIVI_CHANTIERS!$A$1:$G$155</definedName>
    <definedName name="_xlnm.Print_Titles" localSheetId="4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3" l="1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G30" i="12" l="1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25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<sst xmlns="http://schemas.openxmlformats.org/spreadsheetml/2006/main" count="2048" uniqueCount="527">
  <si>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</si>
  <si>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</si>
  <si>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</si>
  <si>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</si>
  <si>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</si>
  <si>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</si>
  <si>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</si>
  <si>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</si>
  <si>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</si>
  <si>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</si>
  <si>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</si>
  <si>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</si>
  <si>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</si>
  <si>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</si>
  <si>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</si>
  <si>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</si>
  <si>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</si>
  <si>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</si>
  <si>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</si>
  <si>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</si>
  <si>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</si>
  <si>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</si>
  <si>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</si>
  <si>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</si>
  <si>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</si>
  <si>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</si>
  <si>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</si>
  <si>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</si>
  <si>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</si>
  <si>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</si>
  <si>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</si>
  <si>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</si>
  <si>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</si>
  <si>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</si>
  <si>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</si>
  <si>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</si>
  <si>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</si>
  <si>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</si>
  <si>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</si>
  <si>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</si>
  <si>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</si>
  <si>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</si>
  <si>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</si>
  <si>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</si>
  <si>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</si>
  <si>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</si>
  <si>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</si>
  <si>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</si>
  <si>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</si>
  <si>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</si>
  <si>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</si>
  <si>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</si>
  <si>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</si>
  <si>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</si>
  <si>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</si>
  <si>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</si>
  <si>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</si>
  <si>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</si>
  <si>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</si>
  <si>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</si>
  <si>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</si>
  <si>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</si>
  <si>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</si>
  <si>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</si>
  <si>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</si>
  <si>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</si>
  <si>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</si>
  <si>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</si>
  <si>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</si>
  <si>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</si>
  <si>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</si>
  <si>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</si>
  <si>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</si>
  <si>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</si>
  <si>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</si>
  <si>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</si>
  <si>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</si>
  <si>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</si>
  <si>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</si>
  <si>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</si>
  <si>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</si>
  <si>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</si>
  <si>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</si>
  <si>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</si>
  <si>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</si>
  <si>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</si>
  <si>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</si>
  <si>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</si>
  <si>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</si>
  <si>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</si>
  <si>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</si>
  <si>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</si>
  <si>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</si>
  <si>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</si>
  <si>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</si>
  <si>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</si>
  <si>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</si>
  <si>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</si>
  <si>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</si>
  <si>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</si>
  <si>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</si>
  <si>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</si>
  <si>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</si>
  <si>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</si>
  <si>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</si>
  <si>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</si>
  <si>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</si>
  <si>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</si>
  <si>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</si>
  <si>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</si>
  <si>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</si>
  <si>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</si>
  <si>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</si>
  <si>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</si>
  <si>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</si>
  <si>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</si>
  <si>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</si>
  <si>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</si>
  <si>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</si>
  <si>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</si>
  <si>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</si>
  <si>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</si>
  <si>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</si>
  <si>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</si>
  <si>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</si>
  <si>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</si>
  <si>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</si>
  <si>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</si>
  <si>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</si>
  <si>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</si>
  <si>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</si>
  <si>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</si>
  <si>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</si>
  <si>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</si>
  <si>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</si>
  <si>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</si>
  <si>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</si>
  <si>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</si>
  <si>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</si>
  <si>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</si>
  <si>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</si>
  <si>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</si>
  <si>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</si>
  <si>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</si>
  <si>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</si>
  <si>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</si>
  <si>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</si>
  <si>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</si>
  <si>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</si>
  <si>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</si>
  <si>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</si>
  <si>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</si>
  <si>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</si>
  <si>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</si>
  <si>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</si>
  <si>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</si>
  <si>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</si>
  <si>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</si>
  <si>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</si>
  <si>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</si>
  <si>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</si>
  <si>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</si>
  <si>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</si>
  <si>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</si>
  <si>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</si>
  <si>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</si>
  <si>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</si>
  <si>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</si>
  <si>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</si>
  <si>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</si>
  <si>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</si>
  <si>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</si>
  <si>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</si>
  <si>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</si>
  <si>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</si>
  <si>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</si>
  <si>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</si>
  <si>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</si>
  <si>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</si>
  <si>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</si>
  <si>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</si>
  <si>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</si>
  <si>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</si>
  <si>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</si>
  <si>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</si>
  <si>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</si>
  <si>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</si>
  <si>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</si>
  <si>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</si>
  <si>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</si>
  <si>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</si>
  <si>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</si>
  <si>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</si>
  <si>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</si>
  <si>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</si>
  <si>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</si>
  <si>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</si>
  <si>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</si>
  <si>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</si>
  <si>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</si>
  <si>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</si>
  <si>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</si>
  <si>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</si>
  <si>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</si>
  <si>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</si>
  <si>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</si>
  <si>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</si>
  <si>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</si>
  <si>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</si>
  <si>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</si>
  <si>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</si>
  <si>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</si>
  <si>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</si>
  <si>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</si>
  <si>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</si>
  <si>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</si>
  <si>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</si>
  <si>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</si>
  <si>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</si>
  <si>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</si>
  <si>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</si>
  <si>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</si>
  <si>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</si>
  <si>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</si>
  <si>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</si>
  <si>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</si>
  <si>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</si>
  <si>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</si>
  <si>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</si>
  <si>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</si>
  <si>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</si>
  <si>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</si>
  <si>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</si>
  <si>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</si>
  <si>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</si>
  <si>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</si>
  <si>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</si>
  <si>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</si>
  <si>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</si>
  <si>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</si>
  <si>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</si>
  <si>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</si>
  <si>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</si>
  <si>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</si>
  <si>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</si>
  <si>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</si>
  <si>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</si>
  <si>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</si>
  <si>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</si>
  <si>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</si>
  <si>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</si>
  <si>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</si>
  <si>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</si>
  <si>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</si>
  <si>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</si>
  <si>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</si>
  <si>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</si>
  <si>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</si>
  <si>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</si>
  <si>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</si>
  <si>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</si>
  <si>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</si>
  <si>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</si>
  <si>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</si>
  <si>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</si>
  <si>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</si>
  <si>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</si>
  <si>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</si>
  <si>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</si>
  <si>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</si>
  <si>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</si>
  <si>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</si>
  <si>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</si>
  <si>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</si>
  <si>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</si>
  <si>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</si>
  <si>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</si>
  <si>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</si>
  <si>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</si>
  <si>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</si>
  <si>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</si>
  <si>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</si>
  <si>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</si>
  <si>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</si>
  <si>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</si>
  <si>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</si>
  <si>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</si>
  <si>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</si>
  <si>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</si>
  <si>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</si>
  <si>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</si>
  <si>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</si>
  <si>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</si>
  <si>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</si>
  <si>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</si>
  <si>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</si>
  <si>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</si>
  <si>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</si>
  <si>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</si>
  <si>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</si>
  <si>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</si>
  <si>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</si>
  <si>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</si>
  <si>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</si>
  <si>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</si>
  <si>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</si>
  <si>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</si>
  <si>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</si>
  <si>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</si>
  <si>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</si>
  <si>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</si>
  <si>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</si>
  <si>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</si>
  <si>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</si>
  <si>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</si>
  <si>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</si>
  <si>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</si>
  <si>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</si>
  <si>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</si>
  <si>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</si>
  <si>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</si>
  <si>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</si>
  <si>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</si>
  <si>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</si>
  <si>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</si>
  <si>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</si>
  <si>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</si>
  <si>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</si>
  <si>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</si>
  <si>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</si>
  <si>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</si>
  <si>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</si>
  <si>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</si>
  <si>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</si>
  <si>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</si>
  <si>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</si>
  <si>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</si>
  <si>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</si>
  <si>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</si>
  <si>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</si>
  <si>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</si>
  <si>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</si>
  <si>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</si>
  <si>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</si>
  <si>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</si>
  <si>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</si>
  <si>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</si>
  <si>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</si>
  <si>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</si>
  <si>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</si>
  <si>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</si>
  <si>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</si>
  <si>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</si>
  <si>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</si>
  <si>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</si>
  <si>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</si>
  <si>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</si>
  <si>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</si>
  <si>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</si>
  <si>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</si>
  <si>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</si>
  <si>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</si>
  <si>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</si>
  <si>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</si>
  <si>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</si>
  <si>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</si>
  <si>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</si>
  <si>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</si>
  <si>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</si>
  <si>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</si>
  <si>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</si>
  <si>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</si>
  <si>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</si>
  <si>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</si>
  <si>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</si>
  <si>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</si>
  <si>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</si>
  <si>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</si>
  <si>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</si>
  <si>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</si>
  <si>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</si>
  <si>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</si>
  <si>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</si>
  <si>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</si>
  <si>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</si>
  <si>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</si>
  <si>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</si>
  <si>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</si>
  <si>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</si>
  <si>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</si>
  <si>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</si>
  <si>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</si>
  <si>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</si>
  <si>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</si>
  <si>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</si>
  <si>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</si>
  <si>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</si>
  <si>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</si>
  <si>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</si>
  <si>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</si>
  <si>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</si>
  <si>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</si>
  <si>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</si>
  <si>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</si>
  <si>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</si>
  <si>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</si>
  <si>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</si>
  <si>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</si>
  <si>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</si>
  <si>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</si>
  <si>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</si>
  <si>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</si>
  <si>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</si>
  <si>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</si>
  <si>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</si>
  <si>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49.22688441962131</t>
  </si>
  <si>
    <t xml:space="preserve"> -0.04571735165759916</t>
  </si>
  <si>
    <t>49.233704768397914</t>
  </si>
  <si>
    <t xml:space="preserve"> -0.0500232074070623</t>
  </si>
  <si>
    <t>49.23177507654163</t>
  </si>
  <si>
    <t xml:space="preserve"> -0.04427842285725417</t>
  </si>
  <si>
    <t>49.20997685708743</t>
  </si>
  <si>
    <t xml:space="preserve"> -0.2382880196051263</t>
  </si>
  <si>
    <t>49.26070201771357</t>
  </si>
  <si>
    <t xml:space="preserve"> -0.19127903845914065</t>
  </si>
  <si>
    <t>49.28364726454643</t>
  </si>
  <si>
    <t xml:space="preserve"> -0.1885536846447287</t>
  </si>
  <si>
    <t>EXISTANT / A CRÉER</t>
  </si>
  <si>
    <t>A AMÉNAGER</t>
  </si>
  <si>
    <t>49.2472318</t>
  </si>
  <si>
    <t xml:space="preserve"> -0.0129685</t>
  </si>
  <si>
    <t>A AGRANDIR</t>
  </si>
  <si>
    <t>A CRÉER</t>
  </si>
  <si>
    <t>ON FAIT QUOI ?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</si>
  <si>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</si>
  <si>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</si>
  <si>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</si>
  <si>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</si>
  <si>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</si>
  <si>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</si>
  <si>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A SUPPRIMER</t>
  </si>
  <si>
    <t>49.23183978582926</t>
  </si>
  <si>
    <t xml:space="preserve"> -0.04398788888603056</t>
  </si>
  <si>
    <t>49.230730058721775</t>
  </si>
  <si>
    <t xml:space="preserve"> -0.04459631849467809</t>
  </si>
  <si>
    <t>49.29988446178953</t>
  </si>
  <si>
    <t xml:space="preserve"> -0.05982123995887206</t>
  </si>
  <si>
    <t>EXISTANT</t>
  </si>
  <si>
    <t>A DÉPLACER</t>
  </si>
  <si>
    <t>A VOIR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</si>
  <si>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</si>
  <si>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</si>
  <si>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</si>
  <si>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</si>
  <si>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</si>
  <si>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</si>
  <si>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</si>
  <si>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</si>
  <si>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</si>
  <si>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</si>
  <si>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</si>
  <si>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</si>
  <si>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</si>
  <si>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</si>
  <si>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</si>
  <si>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</si>
  <si>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</si>
  <si>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</si>
  <si>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</si>
  <si>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</si>
  <si>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</si>
  <si>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</si>
  <si>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</si>
  <si>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</si>
  <si>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</si>
  <si>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</si>
  <si>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</si>
  <si>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</si>
  <si>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</si>
  <si>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</si>
  <si>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</si>
  <si>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</si>
  <si>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</si>
  <si>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</si>
  <si>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</si>
  <si>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</si>
  <si>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</si>
  <si>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</si>
  <si>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</si>
  <si>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</si>
  <si>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</si>
  <si>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</si>
  <si>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</si>
  <si>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</si>
  <si>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</si>
  <si>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</si>
  <si>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</si>
  <si>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</si>
  <si>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</si>
  <si>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</si>
  <si>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</si>
  <si>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</si>
  <si>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</si>
  <si>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</si>
  <si>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</si>
  <si>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</si>
  <si>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</si>
  <si>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</si>
  <si>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</si>
  <si>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</si>
  <si>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</si>
  <si>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49.25147</t>
  </si>
  <si>
    <t xml:space="preserve"> -0.18854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</si>
  <si>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</si>
  <si>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</si>
  <si>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</si>
  <si>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</si>
  <si>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</si>
  <si>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</si>
  <si>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</si>
  <si>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</si>
  <si>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49.29052709190892</t>
  </si>
  <si>
    <t xml:space="preserve"> -0.10950085698672889</t>
  </si>
  <si>
    <t>49.2712375</t>
  </si>
  <si>
    <t xml:space="preserve"> -0.1876433</t>
  </si>
  <si>
    <t>49.2732911</t>
  </si>
  <si>
    <t xml:space="preserve"> -0.1988375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</si>
</sst>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3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  <charset val="1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</fonts>
  <fills count="42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</fills>
  <borders count="3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0" fillId="0" borderId="15" xfId="0" applyBorder="1"/>
    <xf numFmtId="0" fontId="0" fillId="0" borderId="16" xfId="0" applyBorder="1"/>
    <xf numFmtId="0" fontId="0" fillId="27" borderId="15" xfId="0" applyFill="1" applyBorder="1"/>
    <xf numFmtId="0" fontId="0" fillId="27" borderId="16" xfId="0" applyFill="1" applyBorder="1"/>
    <xf numFmtId="0" fontId="39" fillId="28" borderId="15" xfId="0" applyFont="1" applyFill="1" applyBorder="1"/>
    <xf numFmtId="0" fontId="39" fillId="28" borderId="16" xfId="0" applyFont="1" applyFill="1" applyBorder="1"/>
    <xf numFmtId="0" fontId="40" fillId="29" borderId="17" xfId="0" applyFont="1" applyFill="1" applyBorder="1" applyAlignment="1">
      <alignment horizontal="center" vertical="center" wrapText="1"/>
    </xf>
    <xf numFmtId="0" fontId="40" fillId="31" borderId="17" xfId="0" applyFont="1" applyFill="1" applyBorder="1" applyAlignment="1">
      <alignment horizontal="center" vertical="center" wrapText="1"/>
    </xf>
    <xf numFmtId="0" fontId="41" fillId="32" borderId="17" xfId="0" applyFont="1" applyFill="1" applyBorder="1" applyAlignment="1">
      <alignment vertical="center"/>
    </xf>
    <xf numFmtId="0" fontId="41" fillId="33" borderId="17" xfId="0" applyFont="1" applyFill="1" applyBorder="1" applyAlignment="1">
      <alignment vertical="center"/>
    </xf>
    <xf numFmtId="0" fontId="40" fillId="29" borderId="18" xfId="0" applyFont="1" applyFill="1" applyBorder="1" applyAlignment="1">
      <alignment horizontal="center" vertical="center" wrapText="1"/>
    </xf>
    <xf numFmtId="0" fontId="42" fillId="34" borderId="0" xfId="0" applyFont="1" applyFill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2" fillId="34" borderId="18" xfId="0" applyFont="1" applyFill="1" applyBorder="1" applyAlignment="1">
      <alignment horizontal="center" vertical="center" wrapText="1"/>
    </xf>
    <xf numFmtId="0" fontId="46" fillId="0" borderId="0" xfId="0" applyFont="1"/>
    <xf numFmtId="0" fontId="42" fillId="34" borderId="0" xfId="0" applyFont="1" applyFill="1"/>
    <xf numFmtId="0" fontId="47" fillId="37" borderId="0" xfId="0" applyFont="1" applyFill="1" applyAlignment="1">
      <alignment horizontal="center" wrapText="1"/>
    </xf>
    <xf numFmtId="0" fontId="0" fillId="0" borderId="24" xfId="0" applyBorder="1"/>
    <xf numFmtId="0" fontId="0" fillId="0" borderId="27" xfId="0" applyBorder="1"/>
    <xf numFmtId="0" fontId="0" fillId="0" borderId="30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0" xfId="0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0" fontId="52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4" fillId="41" borderId="20" xfId="0" applyFont="1" applyFill="1" applyBorder="1"/>
    <xf numFmtId="165" fontId="44" fillId="41" borderId="2" xfId="0" applyNumberFormat="1" applyFont="1" applyFill="1" applyBorder="1" applyAlignment="1">
      <alignment horizontal="center"/>
    </xf>
    <xf numFmtId="165" fontId="44" fillId="41" borderId="4" xfId="0" applyNumberFormat="1" applyFont="1" applyFill="1" applyBorder="1" applyAlignment="1">
      <alignment horizontal="center"/>
    </xf>
    <xf numFmtId="0" fontId="47" fillId="38" borderId="20" xfId="0" applyFont="1" applyFill="1" applyBorder="1"/>
    <xf numFmtId="0" fontId="47" fillId="39" borderId="20" xfId="0" applyFont="1" applyFill="1" applyBorder="1"/>
    <xf numFmtId="0" fontId="51" fillId="30" borderId="20" xfId="0" applyFont="1" applyFill="1" applyBorder="1"/>
    <xf numFmtId="0" fontId="51" fillId="40" borderId="20" xfId="0" applyFont="1" applyFill="1" applyBorder="1"/>
    <xf numFmtId="0" fontId="47" fillId="38" borderId="0" xfId="0" applyFont="1" applyFill="1" applyAlignment="1">
      <alignment vertical="center"/>
    </xf>
    <xf numFmtId="0" fontId="47" fillId="39" borderId="22" xfId="0" applyFont="1" applyFill="1" applyBorder="1" applyAlignment="1">
      <alignment vertical="center"/>
    </xf>
    <xf numFmtId="0" fontId="51" fillId="30" borderId="22" xfId="0" applyFont="1" applyFill="1" applyBorder="1" applyAlignment="1">
      <alignment vertical="center"/>
    </xf>
    <xf numFmtId="0" fontId="51" fillId="40" borderId="21" xfId="0" applyFont="1" applyFill="1" applyBorder="1" applyAlignment="1">
      <alignment vertical="center"/>
    </xf>
    <xf numFmtId="0" fontId="47" fillId="37" borderId="32" xfId="0" applyFont="1" applyFill="1" applyBorder="1" applyAlignment="1">
      <alignment horizontal="center" vertical="center" wrapText="1"/>
    </xf>
    <xf numFmtId="0" fontId="47" fillId="37" borderId="33" xfId="0" applyFont="1" applyFill="1" applyBorder="1" applyAlignment="1">
      <alignment horizontal="center" vertical="center" wrapText="1"/>
    </xf>
    <xf numFmtId="0" fontId="47" fillId="37" borderId="34" xfId="0" applyFont="1" applyFill="1" applyBorder="1" applyAlignment="1">
      <alignment horizontal="center" vertical="center" wrapText="1"/>
    </xf>
    <xf numFmtId="0" fontId="38" fillId="35" borderId="2" xfId="0" applyFont="1" applyFill="1" applyBorder="1"/>
    <xf numFmtId="0" fontId="45" fillId="0" borderId="2" xfId="0" applyFont="1" applyBorder="1" applyAlignment="1">
      <alignment horizontal="center"/>
    </xf>
    <xf numFmtId="0" fontId="38" fillId="35" borderId="4" xfId="0" applyFont="1" applyFill="1" applyBorder="1" applyAlignment="1">
      <alignment horizontal="center"/>
    </xf>
    <xf numFmtId="0" fontId="38" fillId="35" borderId="19" xfId="0" applyFont="1" applyFill="1" applyBorder="1" applyAlignment="1">
      <alignment horizontal="center"/>
    </xf>
    <xf numFmtId="0" fontId="38" fillId="35" borderId="20" xfId="0" applyFont="1" applyFill="1" applyBorder="1" applyAlignment="1">
      <alignment horizontal="center"/>
    </xf>
    <xf numFmtId="0" fontId="38" fillId="35" borderId="2" xfId="0" applyFont="1" applyFill="1" applyBorder="1" applyAlignment="1">
      <alignment horizontal="center"/>
    </xf>
    <xf numFmtId="0" fontId="0" fillId="0" borderId="22" xfId="0" applyBorder="1" applyAlignment="1">
      <alignment vertical="center" wrapText="1"/>
    </xf>
    <xf numFmtId="0" fontId="0" fillId="0" borderId="22" xfId="0" applyBorder="1"/>
    <xf numFmtId="0" fontId="0" fillId="0" borderId="21" xfId="0" applyBorder="1" applyAlignment="1">
      <alignment vertical="center" wrapText="1"/>
    </xf>
    <xf numFmtId="0" fontId="0" fillId="0" borderId="21" xfId="0" applyBorder="1"/>
    <xf numFmtId="0" fontId="48" fillId="0" borderId="0" xfId="0" applyFont="1"/>
    <xf numFmtId="0" fontId="49" fillId="0" borderId="0" xfId="0" applyFont="1"/>
    <xf numFmtId="0" fontId="50" fillId="36" borderId="0" xfId="0" applyFont="1" applyFill="1" applyAlignment="1">
      <alignment vertical="center"/>
    </xf>
    <xf numFmtId="0" fontId="50" fillId="36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5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30</c:v>
                </c:pt>
                <c:pt idx="1">
                  <c:v>32</c:v>
                </c:pt>
                <c:pt idx="2">
                  <c:v>11</c:v>
                </c:pt>
                <c:pt idx="3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4</c:v>
                </c:pt>
                <c:pt idx="1">
                  <c:v>10</c:v>
                </c:pt>
                <c:pt idx="2">
                  <c:v>4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55" tableType="queryTable" totalsRowShown="0">
  <autoFilter ref="A1:G155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55"/>
  <sheetViews>
    <sheetView tabSelected="1" topLeftCell="A106" workbookViewId="0">
      <selection activeCell="D111" sqref="D111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427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14117</v>
      </c>
      <c r="B3" t="s">
        <v>109</v>
      </c>
      <c r="C3" t="s">
        <v>91</v>
      </c>
      <c r="D3" t="s">
        <v>411</v>
      </c>
      <c r="E3" t="s">
        <v>412</v>
      </c>
      <c r="F3" t="s">
        <v>258</v>
      </c>
    </row>
    <row r="4" spans="1:7" x14ac:dyDescent="0.25">
      <c r="A4">
        <v>14117</v>
      </c>
      <c r="B4" t="s">
        <v>109</v>
      </c>
      <c r="C4" t="s">
        <v>91</v>
      </c>
      <c r="D4" t="s">
        <v>413</v>
      </c>
      <c r="E4" t="s">
        <v>414</v>
      </c>
      <c r="F4" t="s">
        <v>258</v>
      </c>
    </row>
    <row r="5" spans="1:7" x14ac:dyDescent="0.25">
      <c r="A5">
        <v>14203</v>
      </c>
      <c r="B5" t="s">
        <v>94</v>
      </c>
      <c r="C5" t="s">
        <v>91</v>
      </c>
      <c r="D5" t="s">
        <v>394</v>
      </c>
      <c r="E5" t="s">
        <v>395</v>
      </c>
      <c r="F5" t="s">
        <v>258</v>
      </c>
    </row>
    <row r="6" spans="1:7" x14ac:dyDescent="0.25">
      <c r="A6">
        <v>14227</v>
      </c>
      <c r="B6" t="s">
        <v>95</v>
      </c>
      <c r="C6" t="s">
        <v>91</v>
      </c>
      <c r="D6" t="s">
        <v>200</v>
      </c>
      <c r="E6" t="s">
        <v>201</v>
      </c>
      <c r="F6" t="s">
        <v>258</v>
      </c>
    </row>
    <row r="7" spans="1:7" x14ac:dyDescent="0.25">
      <c r="A7">
        <v>14229</v>
      </c>
      <c r="B7" t="s">
        <v>86</v>
      </c>
      <c r="C7" t="s">
        <v>91</v>
      </c>
      <c r="D7" t="s">
        <v>415</v>
      </c>
      <c r="E7" t="s">
        <v>416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417</v>
      </c>
      <c r="E8" t="s">
        <v>418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419</v>
      </c>
      <c r="E9" t="s">
        <v>420</v>
      </c>
      <c r="F9" t="s">
        <v>258</v>
      </c>
    </row>
    <row r="10" spans="1:7" x14ac:dyDescent="0.25">
      <c r="A10">
        <v>14231</v>
      </c>
      <c r="B10" t="s">
        <v>100</v>
      </c>
      <c r="C10" t="s">
        <v>91</v>
      </c>
      <c r="D10" t="s">
        <v>396</v>
      </c>
      <c r="E10" t="s">
        <v>397</v>
      </c>
      <c r="F10" t="s">
        <v>258</v>
      </c>
    </row>
    <row r="11" spans="1:7" x14ac:dyDescent="0.25">
      <c r="A11">
        <v>14246</v>
      </c>
      <c r="B11" t="s">
        <v>129</v>
      </c>
      <c r="C11" t="s">
        <v>91</v>
      </c>
      <c r="D11" t="s">
        <v>421</v>
      </c>
      <c r="E11" t="s">
        <v>422</v>
      </c>
      <c r="F11" t="s">
        <v>258</v>
      </c>
    </row>
    <row r="12" spans="1:7" x14ac:dyDescent="0.25">
      <c r="A12">
        <v>14306</v>
      </c>
      <c r="B12" t="s">
        <v>96</v>
      </c>
      <c r="C12" t="s">
        <v>91</v>
      </c>
      <c r="D12" t="s">
        <v>423</v>
      </c>
      <c r="E12" t="s">
        <v>424</v>
      </c>
      <c r="F12" t="s">
        <v>258</v>
      </c>
    </row>
    <row r="13" spans="1:7" x14ac:dyDescent="0.25">
      <c r="A13">
        <v>14338</v>
      </c>
      <c r="B13" t="s">
        <v>112</v>
      </c>
      <c r="C13" t="s">
        <v>91</v>
      </c>
      <c r="D13" t="s">
        <v>398</v>
      </c>
      <c r="E13" t="s">
        <v>399</v>
      </c>
      <c r="F13" t="s">
        <v>258</v>
      </c>
    </row>
    <row r="14" spans="1:7" x14ac:dyDescent="0.25">
      <c r="A14">
        <v>14409</v>
      </c>
      <c r="B14" t="s">
        <v>113</v>
      </c>
      <c r="C14" t="s">
        <v>91</v>
      </c>
      <c r="D14" t="s">
        <v>425</v>
      </c>
      <c r="E14" t="s">
        <v>426</v>
      </c>
      <c r="F14" t="s">
        <v>258</v>
      </c>
    </row>
    <row r="15" spans="1:7" x14ac:dyDescent="0.25">
      <c r="A15">
        <v>14524</v>
      </c>
      <c r="B15" t="s">
        <v>103</v>
      </c>
      <c r="C15" t="s">
        <v>91</v>
      </c>
      <c r="D15" t="s">
        <v>202</v>
      </c>
      <c r="E15" t="s">
        <v>203</v>
      </c>
      <c r="F15" t="s">
        <v>258</v>
      </c>
    </row>
    <row r="16" spans="1:7" x14ac:dyDescent="0.25">
      <c r="A16">
        <v>14530</v>
      </c>
      <c r="B16" t="s">
        <v>114</v>
      </c>
      <c r="C16" t="s">
        <v>91</v>
      </c>
      <c r="D16" t="s">
        <v>491</v>
      </c>
      <c r="E16" t="s">
        <v>492</v>
      </c>
      <c r="F16" t="s">
        <v>258</v>
      </c>
    </row>
    <row r="17" spans="1:6" x14ac:dyDescent="0.25">
      <c r="A17">
        <v>14598</v>
      </c>
      <c r="B17" t="s">
        <v>104</v>
      </c>
      <c r="C17" t="s">
        <v>91</v>
      </c>
      <c r="D17" t="s">
        <v>400</v>
      </c>
      <c r="E17" t="s">
        <v>401</v>
      </c>
      <c r="F17" t="s">
        <v>258</v>
      </c>
    </row>
    <row r="18" spans="1:6" x14ac:dyDescent="0.25">
      <c r="A18">
        <v>14665</v>
      </c>
      <c r="B18" t="s">
        <v>90</v>
      </c>
      <c r="C18" t="s">
        <v>91</v>
      </c>
      <c r="D18" t="s">
        <v>204</v>
      </c>
      <c r="E18" t="s">
        <v>205</v>
      </c>
      <c r="F18" t="s">
        <v>258</v>
      </c>
    </row>
    <row r="19" spans="1:6" x14ac:dyDescent="0.25">
      <c r="A19">
        <v>14743</v>
      </c>
      <c r="B19" t="s">
        <v>136</v>
      </c>
      <c r="C19" t="s">
        <v>91</v>
      </c>
      <c r="D19" t="s">
        <v>392</v>
      </c>
      <c r="E19" t="s">
        <v>393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402</v>
      </c>
      <c r="E20" t="s">
        <v>403</v>
      </c>
      <c r="F20" t="s">
        <v>258</v>
      </c>
    </row>
    <row r="21" spans="1:6" x14ac:dyDescent="0.25">
      <c r="A21">
        <v>14009</v>
      </c>
      <c r="B21" t="s">
        <v>105</v>
      </c>
      <c r="C21" t="s">
        <v>87</v>
      </c>
      <c r="D21" t="s">
        <v>150</v>
      </c>
      <c r="E21" t="s">
        <v>151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152</v>
      </c>
      <c r="E22" t="s">
        <v>153</v>
      </c>
      <c r="F22" t="s">
        <v>258</v>
      </c>
    </row>
    <row r="23" spans="1:6" x14ac:dyDescent="0.25">
      <c r="A23">
        <v>14024</v>
      </c>
      <c r="B23" t="s">
        <v>106</v>
      </c>
      <c r="C23" t="s">
        <v>87</v>
      </c>
      <c r="D23" t="s">
        <v>154</v>
      </c>
      <c r="E23" t="s">
        <v>155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505</v>
      </c>
      <c r="E26" t="s">
        <v>506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517</v>
      </c>
      <c r="E30" t="s">
        <v>518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507</v>
      </c>
      <c r="E31" t="s">
        <v>508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509</v>
      </c>
      <c r="E36" t="s">
        <v>510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511</v>
      </c>
      <c r="E38" t="s">
        <v>512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513</v>
      </c>
      <c r="E39" t="s">
        <v>514</v>
      </c>
      <c r="F39" t="s">
        <v>258</v>
      </c>
    </row>
    <row r="40" spans="1:6" x14ac:dyDescent="0.25">
      <c r="A40">
        <v>14305</v>
      </c>
      <c r="B40" t="s">
        <v>88</v>
      </c>
      <c r="C40" t="s">
        <v>87</v>
      </c>
      <c r="D40" t="s">
        <v>176</v>
      </c>
      <c r="E40" t="s">
        <v>177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515</v>
      </c>
      <c r="E41" t="s">
        <v>516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178</v>
      </c>
      <c r="E42" t="s">
        <v>179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180</v>
      </c>
      <c r="E43" t="s">
        <v>181</v>
      </c>
      <c r="F43" t="s">
        <v>258</v>
      </c>
    </row>
    <row r="44" spans="1:6" x14ac:dyDescent="0.25">
      <c r="A44">
        <v>14409</v>
      </c>
      <c r="B44" t="s">
        <v>113</v>
      </c>
      <c r="C44" t="s">
        <v>87</v>
      </c>
      <c r="D44" t="s">
        <v>182</v>
      </c>
      <c r="E44" t="s">
        <v>183</v>
      </c>
      <c r="F44" t="s">
        <v>258</v>
      </c>
    </row>
    <row r="45" spans="1:6" x14ac:dyDescent="0.25">
      <c r="A45">
        <v>14530</v>
      </c>
      <c r="B45" t="s">
        <v>114</v>
      </c>
      <c r="C45" t="s">
        <v>87</v>
      </c>
      <c r="D45" t="s">
        <v>184</v>
      </c>
      <c r="E45" t="s">
        <v>185</v>
      </c>
      <c r="F45" t="s">
        <v>258</v>
      </c>
    </row>
    <row r="46" spans="1:6" x14ac:dyDescent="0.25">
      <c r="A46">
        <v>14550</v>
      </c>
      <c r="B46" t="s">
        <v>89</v>
      </c>
      <c r="C46" t="s">
        <v>87</v>
      </c>
      <c r="D46" t="s">
        <v>186</v>
      </c>
      <c r="E46" t="s">
        <v>187</v>
      </c>
      <c r="F46" t="s">
        <v>258</v>
      </c>
    </row>
    <row r="47" spans="1:6" x14ac:dyDescent="0.25">
      <c r="A47">
        <v>14660</v>
      </c>
      <c r="B47" t="s">
        <v>116</v>
      </c>
      <c r="C47" t="s">
        <v>87</v>
      </c>
      <c r="D47" t="s">
        <v>188</v>
      </c>
      <c r="E47" t="s">
        <v>189</v>
      </c>
      <c r="F47" t="s">
        <v>258</v>
      </c>
    </row>
    <row r="48" spans="1:6" x14ac:dyDescent="0.25">
      <c r="A48">
        <v>14665</v>
      </c>
      <c r="B48" t="s">
        <v>90</v>
      </c>
      <c r="C48" t="s">
        <v>87</v>
      </c>
      <c r="D48" t="s">
        <v>190</v>
      </c>
      <c r="E48" t="s">
        <v>191</v>
      </c>
      <c r="F48" t="s">
        <v>258</v>
      </c>
    </row>
    <row r="49" spans="1:7" x14ac:dyDescent="0.25">
      <c r="A49">
        <v>14724</v>
      </c>
      <c r="B49" t="s">
        <v>117</v>
      </c>
      <c r="C49" t="s">
        <v>87</v>
      </c>
      <c r="D49" t="s">
        <v>192</v>
      </c>
      <c r="E49" t="s">
        <v>193</v>
      </c>
      <c r="F49" t="s">
        <v>258</v>
      </c>
    </row>
    <row r="50" spans="1:7" x14ac:dyDescent="0.25">
      <c r="A50">
        <v>14743</v>
      </c>
      <c r="B50" t="s">
        <v>92</v>
      </c>
      <c r="C50" t="s">
        <v>87</v>
      </c>
      <c r="D50" t="s">
        <v>194</v>
      </c>
      <c r="E50" t="s">
        <v>195</v>
      </c>
      <c r="F50" t="s">
        <v>258</v>
      </c>
    </row>
    <row r="51" spans="1:7" x14ac:dyDescent="0.25">
      <c r="A51">
        <v>14009</v>
      </c>
      <c r="B51" t="s">
        <v>105</v>
      </c>
      <c r="C51" t="s">
        <v>85</v>
      </c>
      <c r="D51" t="s">
        <v>214</v>
      </c>
      <c r="E51" t="s">
        <v>215</v>
      </c>
      <c r="F51" t="s">
        <v>258</v>
      </c>
      <c r="G51" t="s">
        <v>428</v>
      </c>
    </row>
    <row r="52" spans="1:7" x14ac:dyDescent="0.25">
      <c r="A52">
        <v>14009</v>
      </c>
      <c r="B52" t="s">
        <v>105</v>
      </c>
      <c r="C52" t="s">
        <v>85</v>
      </c>
      <c r="D52" t="s">
        <v>214</v>
      </c>
      <c r="E52" t="s">
        <v>215</v>
      </c>
      <c r="F52" t="s">
        <v>258</v>
      </c>
      <c r="G52" t="s">
        <v>428</v>
      </c>
    </row>
    <row r="53" spans="1:7" x14ac:dyDescent="0.25">
      <c r="A53">
        <v>14012</v>
      </c>
      <c r="B53" t="s">
        <v>84</v>
      </c>
      <c r="C53" t="s">
        <v>85</v>
      </c>
      <c r="D53" t="s">
        <v>429</v>
      </c>
      <c r="E53" t="s">
        <v>430</v>
      </c>
      <c r="F53" t="s">
        <v>258</v>
      </c>
      <c r="G53" t="s">
        <v>431</v>
      </c>
    </row>
    <row r="54" spans="1:7" x14ac:dyDescent="0.25">
      <c r="A54">
        <v>14012</v>
      </c>
      <c r="B54" t="s">
        <v>84</v>
      </c>
      <c r="C54" t="s">
        <v>85</v>
      </c>
      <c r="D54" t="s">
        <v>259</v>
      </c>
      <c r="E54" t="s">
        <v>260</v>
      </c>
      <c r="F54" t="s">
        <v>258</v>
      </c>
      <c r="G54" t="s">
        <v>428</v>
      </c>
    </row>
    <row r="55" spans="1:7" x14ac:dyDescent="0.25">
      <c r="A55">
        <v>14012</v>
      </c>
      <c r="B55" t="s">
        <v>84</v>
      </c>
      <c r="C55" t="s">
        <v>85</v>
      </c>
      <c r="D55" t="s">
        <v>261</v>
      </c>
      <c r="E55" t="s">
        <v>262</v>
      </c>
      <c r="F55" t="s">
        <v>258</v>
      </c>
      <c r="G55" t="s">
        <v>432</v>
      </c>
    </row>
    <row r="56" spans="1:7" x14ac:dyDescent="0.25">
      <c r="A56">
        <v>14012</v>
      </c>
      <c r="B56" t="s">
        <v>84</v>
      </c>
      <c r="C56" t="s">
        <v>85</v>
      </c>
      <c r="D56" t="s">
        <v>263</v>
      </c>
      <c r="E56" t="s">
        <v>264</v>
      </c>
      <c r="F56" t="s">
        <v>258</v>
      </c>
      <c r="G56" t="s">
        <v>432</v>
      </c>
    </row>
    <row r="57" spans="1:7" x14ac:dyDescent="0.25">
      <c r="A57">
        <v>14024</v>
      </c>
      <c r="B57" t="s">
        <v>106</v>
      </c>
      <c r="C57" t="s">
        <v>85</v>
      </c>
      <c r="D57" t="s">
        <v>265</v>
      </c>
      <c r="E57" t="s">
        <v>266</v>
      </c>
      <c r="F57" t="s">
        <v>258</v>
      </c>
      <c r="G57" t="s">
        <v>428</v>
      </c>
    </row>
    <row r="58" spans="1:7" x14ac:dyDescent="0.25">
      <c r="A58">
        <v>14024</v>
      </c>
      <c r="B58" t="s">
        <v>106</v>
      </c>
      <c r="C58" t="s">
        <v>85</v>
      </c>
      <c r="D58" t="s">
        <v>267</v>
      </c>
      <c r="E58" t="s">
        <v>268</v>
      </c>
      <c r="F58" t="s">
        <v>258</v>
      </c>
      <c r="G58" t="s">
        <v>433</v>
      </c>
    </row>
    <row r="59" spans="1:7" x14ac:dyDescent="0.25">
      <c r="A59">
        <v>14024</v>
      </c>
      <c r="B59" t="s">
        <v>106</v>
      </c>
      <c r="C59" t="s">
        <v>85</v>
      </c>
      <c r="D59" t="s">
        <v>216</v>
      </c>
      <c r="E59" t="s">
        <v>217</v>
      </c>
      <c r="F59" t="s">
        <v>258</v>
      </c>
      <c r="G59" t="s">
        <v>428</v>
      </c>
    </row>
    <row r="60" spans="1:7" x14ac:dyDescent="0.25">
      <c r="A60">
        <v>14045</v>
      </c>
      <c r="B60" t="s">
        <v>99</v>
      </c>
      <c r="C60" t="s">
        <v>85</v>
      </c>
      <c r="D60" t="s">
        <v>434</v>
      </c>
      <c r="E60" t="s">
        <v>435</v>
      </c>
      <c r="F60" t="s">
        <v>258</v>
      </c>
      <c r="G60" t="s">
        <v>431</v>
      </c>
    </row>
    <row r="61" spans="1:7" x14ac:dyDescent="0.25">
      <c r="A61">
        <v>14045</v>
      </c>
      <c r="B61" t="s">
        <v>99</v>
      </c>
      <c r="C61" t="s">
        <v>85</v>
      </c>
      <c r="D61" t="s">
        <v>269</v>
      </c>
      <c r="E61" t="s">
        <v>270</v>
      </c>
      <c r="F61" t="s">
        <v>258</v>
      </c>
      <c r="G61" t="s">
        <v>431</v>
      </c>
    </row>
    <row r="62" spans="1:7" x14ac:dyDescent="0.25">
      <c r="A62">
        <v>14045</v>
      </c>
      <c r="B62" t="s">
        <v>99</v>
      </c>
      <c r="C62" t="s">
        <v>85</v>
      </c>
      <c r="D62" t="s">
        <v>436</v>
      </c>
      <c r="E62" t="s">
        <v>437</v>
      </c>
      <c r="F62" t="s">
        <v>258</v>
      </c>
      <c r="G62" t="s">
        <v>431</v>
      </c>
    </row>
    <row r="63" spans="1:7" x14ac:dyDescent="0.25">
      <c r="A63">
        <v>14045</v>
      </c>
      <c r="B63" t="s">
        <v>99</v>
      </c>
      <c r="C63" t="s">
        <v>85</v>
      </c>
      <c r="D63" t="s">
        <v>438</v>
      </c>
      <c r="E63" t="s">
        <v>439</v>
      </c>
      <c r="F63" t="s">
        <v>258</v>
      </c>
      <c r="G63" t="s">
        <v>431</v>
      </c>
    </row>
    <row r="64" spans="1:7" x14ac:dyDescent="0.25">
      <c r="A64">
        <v>14046</v>
      </c>
      <c r="B64" t="s">
        <v>107</v>
      </c>
      <c r="C64" t="s">
        <v>85</v>
      </c>
      <c r="D64" t="s">
        <v>271</v>
      </c>
      <c r="E64" t="s">
        <v>272</v>
      </c>
      <c r="F64" t="s">
        <v>258</v>
      </c>
      <c r="G64" t="s">
        <v>428</v>
      </c>
    </row>
    <row r="65" spans="1:7" x14ac:dyDescent="0.25">
      <c r="A65">
        <v>14046</v>
      </c>
      <c r="B65" t="s">
        <v>107</v>
      </c>
      <c r="C65" t="s">
        <v>85</v>
      </c>
      <c r="D65" t="s">
        <v>273</v>
      </c>
      <c r="E65" t="s">
        <v>274</v>
      </c>
      <c r="F65" t="s">
        <v>258</v>
      </c>
      <c r="G65" t="s">
        <v>432</v>
      </c>
    </row>
    <row r="66" spans="1:7" x14ac:dyDescent="0.25">
      <c r="A66">
        <v>14046</v>
      </c>
      <c r="B66" t="s">
        <v>107</v>
      </c>
      <c r="C66" t="s">
        <v>85</v>
      </c>
      <c r="D66" t="s">
        <v>275</v>
      </c>
      <c r="E66" t="s">
        <v>276</v>
      </c>
      <c r="F66" t="s">
        <v>258</v>
      </c>
      <c r="G66" t="s">
        <v>432</v>
      </c>
    </row>
    <row r="67" spans="1:7" x14ac:dyDescent="0.25">
      <c r="A67">
        <v>14046</v>
      </c>
      <c r="B67" t="s">
        <v>107</v>
      </c>
      <c r="C67" t="s">
        <v>85</v>
      </c>
      <c r="D67" t="s">
        <v>218</v>
      </c>
      <c r="E67" t="s">
        <v>219</v>
      </c>
      <c r="F67" t="s">
        <v>258</v>
      </c>
      <c r="G67" t="s">
        <v>432</v>
      </c>
    </row>
    <row r="68" spans="1:7" x14ac:dyDescent="0.25">
      <c r="A68">
        <v>14046</v>
      </c>
      <c r="B68" t="s">
        <v>107</v>
      </c>
      <c r="C68" t="s">
        <v>85</v>
      </c>
      <c r="D68" t="s">
        <v>277</v>
      </c>
      <c r="E68" t="s">
        <v>278</v>
      </c>
      <c r="F68" t="s">
        <v>258</v>
      </c>
      <c r="G68" t="s">
        <v>432</v>
      </c>
    </row>
    <row r="69" spans="1:7" x14ac:dyDescent="0.25">
      <c r="A69">
        <v>14046</v>
      </c>
      <c r="B69" t="s">
        <v>107</v>
      </c>
      <c r="C69" t="s">
        <v>85</v>
      </c>
      <c r="D69" t="s">
        <v>279</v>
      </c>
      <c r="E69" t="s">
        <v>280</v>
      </c>
      <c r="F69" t="s">
        <v>258</v>
      </c>
      <c r="G69" t="s">
        <v>432</v>
      </c>
    </row>
    <row r="70" spans="1:7" x14ac:dyDescent="0.25">
      <c r="A70">
        <v>14231</v>
      </c>
      <c r="B70" t="s">
        <v>100</v>
      </c>
      <c r="C70" t="s">
        <v>85</v>
      </c>
      <c r="D70" t="s">
        <v>281</v>
      </c>
      <c r="E70" t="s">
        <v>282</v>
      </c>
      <c r="F70" t="s">
        <v>258</v>
      </c>
      <c r="G70" t="s">
        <v>428</v>
      </c>
    </row>
    <row r="71" spans="1:7" x14ac:dyDescent="0.25">
      <c r="A71">
        <v>14070</v>
      </c>
      <c r="B71" t="s">
        <v>101</v>
      </c>
      <c r="C71" t="s">
        <v>85</v>
      </c>
      <c r="D71" t="s">
        <v>283</v>
      </c>
      <c r="E71" t="s">
        <v>284</v>
      </c>
      <c r="F71" t="s">
        <v>258</v>
      </c>
      <c r="G71" t="s">
        <v>432</v>
      </c>
    </row>
    <row r="72" spans="1:7" x14ac:dyDescent="0.25">
      <c r="A72">
        <v>14070</v>
      </c>
      <c r="B72" t="s">
        <v>101</v>
      </c>
      <c r="C72" t="s">
        <v>85</v>
      </c>
      <c r="D72" t="s">
        <v>285</v>
      </c>
      <c r="E72" t="s">
        <v>286</v>
      </c>
      <c r="F72" t="s">
        <v>258</v>
      </c>
      <c r="G72" t="s">
        <v>428</v>
      </c>
    </row>
    <row r="73" spans="1:7" x14ac:dyDescent="0.25">
      <c r="A73">
        <v>14106</v>
      </c>
      <c r="B73" t="s">
        <v>108</v>
      </c>
      <c r="C73" t="s">
        <v>85</v>
      </c>
      <c r="D73" t="s">
        <v>287</v>
      </c>
      <c r="E73" t="s">
        <v>288</v>
      </c>
      <c r="F73" t="s">
        <v>258</v>
      </c>
      <c r="G73" t="s">
        <v>431</v>
      </c>
    </row>
    <row r="74" spans="1:7" x14ac:dyDescent="0.25">
      <c r="A74">
        <v>14110</v>
      </c>
      <c r="B74" t="s">
        <v>102</v>
      </c>
      <c r="C74" t="s">
        <v>85</v>
      </c>
      <c r="D74" t="s">
        <v>289</v>
      </c>
      <c r="E74" t="s">
        <v>290</v>
      </c>
      <c r="F74" t="s">
        <v>258</v>
      </c>
      <c r="G74" t="s">
        <v>428</v>
      </c>
    </row>
    <row r="75" spans="1:7" x14ac:dyDescent="0.25">
      <c r="A75">
        <v>14110</v>
      </c>
      <c r="B75" t="s">
        <v>102</v>
      </c>
      <c r="C75" t="s">
        <v>85</v>
      </c>
      <c r="D75" t="s">
        <v>291</v>
      </c>
      <c r="E75" t="s">
        <v>292</v>
      </c>
      <c r="F75" t="s">
        <v>258</v>
      </c>
      <c r="G75" t="s">
        <v>428</v>
      </c>
    </row>
    <row r="76" spans="1:7" x14ac:dyDescent="0.25">
      <c r="A76">
        <v>14110</v>
      </c>
      <c r="B76" t="s">
        <v>102</v>
      </c>
      <c r="C76" t="s">
        <v>85</v>
      </c>
      <c r="D76" t="s">
        <v>293</v>
      </c>
      <c r="E76" t="s">
        <v>294</v>
      </c>
      <c r="F76" t="s">
        <v>258</v>
      </c>
      <c r="G76" t="s">
        <v>428</v>
      </c>
    </row>
    <row r="77" spans="1:7" x14ac:dyDescent="0.25">
      <c r="A77">
        <v>14117</v>
      </c>
      <c r="B77" t="s">
        <v>109</v>
      </c>
      <c r="C77" t="s">
        <v>85</v>
      </c>
      <c r="D77" t="s">
        <v>519</v>
      </c>
      <c r="E77" t="s">
        <v>520</v>
      </c>
      <c r="F77" t="s">
        <v>258</v>
      </c>
      <c r="G77" t="s">
        <v>428</v>
      </c>
    </row>
    <row r="78" spans="1:7" x14ac:dyDescent="0.25">
      <c r="A78">
        <v>14117</v>
      </c>
      <c r="B78" t="s">
        <v>109</v>
      </c>
      <c r="C78" t="s">
        <v>85</v>
      </c>
      <c r="D78" t="s">
        <v>297</v>
      </c>
      <c r="E78" t="s">
        <v>298</v>
      </c>
      <c r="F78" t="s">
        <v>258</v>
      </c>
      <c r="G78" t="s">
        <v>428</v>
      </c>
    </row>
    <row r="79" spans="1:7" x14ac:dyDescent="0.25">
      <c r="A79">
        <v>14117</v>
      </c>
      <c r="B79" t="s">
        <v>109</v>
      </c>
      <c r="C79" t="s">
        <v>85</v>
      </c>
      <c r="D79" t="s">
        <v>521</v>
      </c>
      <c r="E79" t="s">
        <v>522</v>
      </c>
      <c r="F79" t="s">
        <v>258</v>
      </c>
      <c r="G79" t="s">
        <v>449</v>
      </c>
    </row>
    <row r="80" spans="1:7" x14ac:dyDescent="0.25">
      <c r="A80">
        <v>14198</v>
      </c>
      <c r="B80" t="s">
        <v>93</v>
      </c>
      <c r="C80" t="s">
        <v>85</v>
      </c>
      <c r="D80" t="s">
        <v>299</v>
      </c>
      <c r="E80" t="s">
        <v>300</v>
      </c>
      <c r="F80" t="s">
        <v>258</v>
      </c>
      <c r="G80" t="s">
        <v>431</v>
      </c>
    </row>
    <row r="81" spans="1:7" x14ac:dyDescent="0.25">
      <c r="A81">
        <v>14203</v>
      </c>
      <c r="B81" t="s">
        <v>94</v>
      </c>
      <c r="C81" t="s">
        <v>85</v>
      </c>
      <c r="D81" t="s">
        <v>301</v>
      </c>
      <c r="E81" t="s">
        <v>302</v>
      </c>
      <c r="F81" t="s">
        <v>258</v>
      </c>
      <c r="G81" t="s">
        <v>431</v>
      </c>
    </row>
    <row r="82" spans="1:7" x14ac:dyDescent="0.25">
      <c r="A82">
        <v>14225</v>
      </c>
      <c r="B82" t="s">
        <v>110</v>
      </c>
      <c r="C82" t="s">
        <v>85</v>
      </c>
      <c r="D82" t="s">
        <v>303</v>
      </c>
      <c r="E82" t="s">
        <v>304</v>
      </c>
      <c r="F82" t="s">
        <v>258</v>
      </c>
      <c r="G82" t="s">
        <v>431</v>
      </c>
    </row>
    <row r="83" spans="1:7" x14ac:dyDescent="0.25">
      <c r="A83">
        <v>14225</v>
      </c>
      <c r="B83" t="s">
        <v>110</v>
      </c>
      <c r="C83" t="s">
        <v>85</v>
      </c>
      <c r="D83" t="s">
        <v>305</v>
      </c>
      <c r="E83" t="s">
        <v>306</v>
      </c>
      <c r="F83" t="s">
        <v>258</v>
      </c>
      <c r="G83" t="s">
        <v>432</v>
      </c>
    </row>
    <row r="84" spans="1:7" x14ac:dyDescent="0.25">
      <c r="A84">
        <v>14225</v>
      </c>
      <c r="B84" t="s">
        <v>110</v>
      </c>
      <c r="C84" t="s">
        <v>85</v>
      </c>
      <c r="D84" t="s">
        <v>309</v>
      </c>
      <c r="E84" t="s">
        <v>310</v>
      </c>
      <c r="F84" t="s">
        <v>258</v>
      </c>
      <c r="G84" t="s">
        <v>432</v>
      </c>
    </row>
    <row r="85" spans="1:7" x14ac:dyDescent="0.25">
      <c r="A85">
        <v>14227</v>
      </c>
      <c r="B85" t="s">
        <v>95</v>
      </c>
      <c r="C85" t="s">
        <v>85</v>
      </c>
      <c r="D85" t="s">
        <v>311</v>
      </c>
      <c r="E85" t="s">
        <v>312</v>
      </c>
      <c r="F85" t="s">
        <v>258</v>
      </c>
      <c r="G85" t="s">
        <v>431</v>
      </c>
    </row>
    <row r="86" spans="1:7" x14ac:dyDescent="0.25">
      <c r="A86">
        <v>14227</v>
      </c>
      <c r="B86" t="s">
        <v>95</v>
      </c>
      <c r="C86" t="s">
        <v>85</v>
      </c>
      <c r="D86" t="s">
        <v>313</v>
      </c>
      <c r="E86" t="s">
        <v>314</v>
      </c>
      <c r="F86" t="s">
        <v>258</v>
      </c>
      <c r="G86" t="s">
        <v>431</v>
      </c>
    </row>
    <row r="87" spans="1:7" x14ac:dyDescent="0.25">
      <c r="A87">
        <v>14227</v>
      </c>
      <c r="B87" t="s">
        <v>95</v>
      </c>
      <c r="C87" t="s">
        <v>85</v>
      </c>
      <c r="D87" t="s">
        <v>315</v>
      </c>
      <c r="E87" t="s">
        <v>316</v>
      </c>
      <c r="F87" t="s">
        <v>258</v>
      </c>
      <c r="G87" t="s">
        <v>431</v>
      </c>
    </row>
    <row r="88" spans="1:7" x14ac:dyDescent="0.25">
      <c r="A88">
        <v>14229</v>
      </c>
      <c r="B88" t="s">
        <v>86</v>
      </c>
      <c r="C88" t="s">
        <v>85</v>
      </c>
      <c r="D88" t="s">
        <v>317</v>
      </c>
      <c r="E88" t="s">
        <v>318</v>
      </c>
      <c r="F88" t="s">
        <v>258</v>
      </c>
      <c r="G88" t="s">
        <v>432</v>
      </c>
    </row>
    <row r="89" spans="1:7" x14ac:dyDescent="0.25">
      <c r="A89">
        <v>14229</v>
      </c>
      <c r="B89" t="s">
        <v>86</v>
      </c>
      <c r="C89" t="s">
        <v>85</v>
      </c>
      <c r="D89" t="s">
        <v>232</v>
      </c>
      <c r="E89" t="s">
        <v>233</v>
      </c>
      <c r="F89" t="s">
        <v>258</v>
      </c>
      <c r="G89" t="s">
        <v>432</v>
      </c>
    </row>
    <row r="90" spans="1:7" x14ac:dyDescent="0.25">
      <c r="A90">
        <v>14229</v>
      </c>
      <c r="B90" t="s">
        <v>86</v>
      </c>
      <c r="C90" t="s">
        <v>85</v>
      </c>
      <c r="D90" t="s">
        <v>234</v>
      </c>
      <c r="E90" t="s">
        <v>235</v>
      </c>
      <c r="F90" t="s">
        <v>258</v>
      </c>
      <c r="G90" t="s">
        <v>432</v>
      </c>
    </row>
    <row r="91" spans="1:7" x14ac:dyDescent="0.25">
      <c r="A91">
        <v>14229</v>
      </c>
      <c r="B91" t="s">
        <v>86</v>
      </c>
      <c r="C91" t="s">
        <v>85</v>
      </c>
      <c r="D91" t="s">
        <v>242</v>
      </c>
      <c r="E91" t="s">
        <v>243</v>
      </c>
      <c r="F91" t="s">
        <v>258</v>
      </c>
      <c r="G91" t="s">
        <v>433</v>
      </c>
    </row>
    <row r="92" spans="1:7" x14ac:dyDescent="0.25">
      <c r="A92">
        <v>14229</v>
      </c>
      <c r="B92" t="s">
        <v>86</v>
      </c>
      <c r="C92" t="s">
        <v>85</v>
      </c>
      <c r="D92" t="s">
        <v>319</v>
      </c>
      <c r="E92" t="s">
        <v>320</v>
      </c>
      <c r="F92" t="s">
        <v>258</v>
      </c>
      <c r="G92" t="s">
        <v>428</v>
      </c>
    </row>
    <row r="93" spans="1:7" x14ac:dyDescent="0.25">
      <c r="A93">
        <v>14229</v>
      </c>
      <c r="B93" t="s">
        <v>86</v>
      </c>
      <c r="C93" t="s">
        <v>85</v>
      </c>
      <c r="D93" t="s">
        <v>319</v>
      </c>
      <c r="E93" t="s">
        <v>320</v>
      </c>
      <c r="F93" t="s">
        <v>258</v>
      </c>
      <c r="G93" t="s">
        <v>428</v>
      </c>
    </row>
    <row r="94" spans="1:7" x14ac:dyDescent="0.25">
      <c r="A94">
        <v>14229</v>
      </c>
      <c r="B94" t="s">
        <v>86</v>
      </c>
      <c r="C94" t="s">
        <v>85</v>
      </c>
      <c r="D94" t="s">
        <v>321</v>
      </c>
      <c r="E94" t="s">
        <v>322</v>
      </c>
      <c r="F94" t="s">
        <v>258</v>
      </c>
      <c r="G94" t="s">
        <v>428</v>
      </c>
    </row>
    <row r="95" spans="1:7" x14ac:dyDescent="0.25">
      <c r="A95">
        <v>14229</v>
      </c>
      <c r="B95" t="s">
        <v>86</v>
      </c>
      <c r="C95" t="s">
        <v>85</v>
      </c>
      <c r="D95" t="s">
        <v>323</v>
      </c>
      <c r="E95" t="s">
        <v>324</v>
      </c>
      <c r="F95" t="s">
        <v>258</v>
      </c>
      <c r="G95" t="s">
        <v>440</v>
      </c>
    </row>
    <row r="96" spans="1:7" x14ac:dyDescent="0.25">
      <c r="A96">
        <v>14229</v>
      </c>
      <c r="B96" t="s">
        <v>86</v>
      </c>
      <c r="C96" t="s">
        <v>85</v>
      </c>
      <c r="D96" t="s">
        <v>441</v>
      </c>
      <c r="E96" t="s">
        <v>442</v>
      </c>
      <c r="F96" t="s">
        <v>258</v>
      </c>
      <c r="G96" t="s">
        <v>440</v>
      </c>
    </row>
    <row r="97" spans="1:7" x14ac:dyDescent="0.25">
      <c r="A97">
        <v>14229</v>
      </c>
      <c r="B97" t="s">
        <v>86</v>
      </c>
      <c r="C97" t="s">
        <v>85</v>
      </c>
      <c r="D97" t="s">
        <v>222</v>
      </c>
      <c r="E97" t="s">
        <v>223</v>
      </c>
      <c r="F97" t="s">
        <v>258</v>
      </c>
      <c r="G97" t="s">
        <v>428</v>
      </c>
    </row>
    <row r="98" spans="1:7" x14ac:dyDescent="0.25">
      <c r="A98">
        <v>14229</v>
      </c>
      <c r="B98" t="s">
        <v>86</v>
      </c>
      <c r="C98" t="s">
        <v>85</v>
      </c>
      <c r="D98" t="s">
        <v>325</v>
      </c>
      <c r="E98" t="s">
        <v>326</v>
      </c>
      <c r="F98" t="s">
        <v>258</v>
      </c>
      <c r="G98" t="s">
        <v>432</v>
      </c>
    </row>
    <row r="99" spans="1:7" x14ac:dyDescent="0.25">
      <c r="A99">
        <v>14229</v>
      </c>
      <c r="B99" t="s">
        <v>86</v>
      </c>
      <c r="C99" t="s">
        <v>85</v>
      </c>
      <c r="D99" t="s">
        <v>443</v>
      </c>
      <c r="E99" t="s">
        <v>444</v>
      </c>
      <c r="F99" t="s">
        <v>258</v>
      </c>
      <c r="G99" t="s">
        <v>432</v>
      </c>
    </row>
    <row r="100" spans="1:7" x14ac:dyDescent="0.25">
      <c r="A100">
        <v>14229</v>
      </c>
      <c r="B100" t="s">
        <v>86</v>
      </c>
      <c r="C100" t="s">
        <v>85</v>
      </c>
      <c r="D100" t="s">
        <v>329</v>
      </c>
      <c r="E100" t="s">
        <v>330</v>
      </c>
      <c r="F100" t="s">
        <v>258</v>
      </c>
      <c r="G100" t="s">
        <v>433</v>
      </c>
    </row>
    <row r="101" spans="1:7" x14ac:dyDescent="0.25">
      <c r="A101">
        <v>14306</v>
      </c>
      <c r="B101" t="s">
        <v>96</v>
      </c>
      <c r="C101" t="s">
        <v>85</v>
      </c>
      <c r="D101" t="s">
        <v>331</v>
      </c>
      <c r="E101" t="s">
        <v>332</v>
      </c>
      <c r="F101" t="s">
        <v>258</v>
      </c>
      <c r="G101" t="s">
        <v>431</v>
      </c>
    </row>
    <row r="102" spans="1:7" x14ac:dyDescent="0.25">
      <c r="A102">
        <v>14306</v>
      </c>
      <c r="B102" t="s">
        <v>96</v>
      </c>
      <c r="C102" t="s">
        <v>85</v>
      </c>
      <c r="D102" t="s">
        <v>220</v>
      </c>
      <c r="E102" t="s">
        <v>221</v>
      </c>
      <c r="F102" t="s">
        <v>258</v>
      </c>
      <c r="G102" t="s">
        <v>428</v>
      </c>
    </row>
    <row r="103" spans="1:7" x14ac:dyDescent="0.25">
      <c r="A103">
        <v>14306</v>
      </c>
      <c r="B103" t="s">
        <v>96</v>
      </c>
      <c r="C103" t="s">
        <v>85</v>
      </c>
      <c r="D103" t="s">
        <v>206</v>
      </c>
      <c r="E103" t="s">
        <v>207</v>
      </c>
      <c r="F103" t="s">
        <v>258</v>
      </c>
      <c r="G103" t="s">
        <v>431</v>
      </c>
    </row>
    <row r="104" spans="1:7" x14ac:dyDescent="0.25">
      <c r="A104">
        <v>14305</v>
      </c>
      <c r="B104" t="s">
        <v>88</v>
      </c>
      <c r="C104" t="s">
        <v>85</v>
      </c>
      <c r="D104" t="s">
        <v>499</v>
      </c>
      <c r="E104" t="s">
        <v>500</v>
      </c>
      <c r="F104" t="s">
        <v>258</v>
      </c>
      <c r="G104" t="s">
        <v>431</v>
      </c>
    </row>
    <row r="105" spans="1:7" x14ac:dyDescent="0.25">
      <c r="A105">
        <v>14305</v>
      </c>
      <c r="B105" t="s">
        <v>88</v>
      </c>
      <c r="C105" t="s">
        <v>85</v>
      </c>
      <c r="D105" t="s">
        <v>501</v>
      </c>
      <c r="E105" t="s">
        <v>502</v>
      </c>
      <c r="F105" t="s">
        <v>258</v>
      </c>
      <c r="G105" t="s">
        <v>431</v>
      </c>
    </row>
    <row r="106" spans="1:7" x14ac:dyDescent="0.25">
      <c r="A106">
        <v>14305</v>
      </c>
      <c r="B106" t="s">
        <v>88</v>
      </c>
      <c r="C106" t="s">
        <v>85</v>
      </c>
      <c r="D106" t="s">
        <v>333</v>
      </c>
      <c r="E106" t="s">
        <v>334</v>
      </c>
      <c r="F106" t="s">
        <v>258</v>
      </c>
      <c r="G106" t="s">
        <v>432</v>
      </c>
    </row>
    <row r="107" spans="1:7" x14ac:dyDescent="0.25">
      <c r="A107">
        <v>14305</v>
      </c>
      <c r="B107" t="s">
        <v>88</v>
      </c>
      <c r="C107" t="s">
        <v>85</v>
      </c>
      <c r="D107" t="s">
        <v>335</v>
      </c>
      <c r="E107" t="s">
        <v>336</v>
      </c>
      <c r="F107" t="s">
        <v>258</v>
      </c>
      <c r="G107" t="s">
        <v>431</v>
      </c>
    </row>
    <row r="108" spans="1:7" x14ac:dyDescent="0.25">
      <c r="A108">
        <v>14305</v>
      </c>
      <c r="B108" t="s">
        <v>88</v>
      </c>
      <c r="C108" t="s">
        <v>85</v>
      </c>
      <c r="D108" t="s">
        <v>337</v>
      </c>
      <c r="E108" t="s">
        <v>338</v>
      </c>
      <c r="F108" t="s">
        <v>258</v>
      </c>
      <c r="G108" t="s">
        <v>431</v>
      </c>
    </row>
    <row r="109" spans="1:7" x14ac:dyDescent="0.25">
      <c r="A109">
        <v>14305</v>
      </c>
      <c r="B109" t="s">
        <v>88</v>
      </c>
      <c r="C109" t="s">
        <v>85</v>
      </c>
      <c r="D109" t="s">
        <v>339</v>
      </c>
      <c r="E109" t="s">
        <v>340</v>
      </c>
      <c r="F109" t="s">
        <v>258</v>
      </c>
      <c r="G109" t="s">
        <v>431</v>
      </c>
    </row>
    <row r="110" spans="1:7" x14ac:dyDescent="0.25">
      <c r="A110">
        <v>14305</v>
      </c>
      <c r="B110" t="s">
        <v>88</v>
      </c>
      <c r="C110" t="s">
        <v>85</v>
      </c>
      <c r="D110" t="s">
        <v>341</v>
      </c>
      <c r="E110" t="s">
        <v>342</v>
      </c>
      <c r="F110" t="s">
        <v>258</v>
      </c>
      <c r="G110" t="s">
        <v>431</v>
      </c>
    </row>
    <row r="111" spans="1:7" x14ac:dyDescent="0.25">
      <c r="A111">
        <v>14305</v>
      </c>
      <c r="B111" t="s">
        <v>88</v>
      </c>
      <c r="C111" t="s">
        <v>85</v>
      </c>
      <c r="D111" t="s">
        <v>208</v>
      </c>
      <c r="E111" t="s">
        <v>209</v>
      </c>
      <c r="F111" t="s">
        <v>258</v>
      </c>
      <c r="G111" t="s">
        <v>431</v>
      </c>
    </row>
    <row r="112" spans="1:7" x14ac:dyDescent="0.25">
      <c r="A112">
        <v>14305</v>
      </c>
      <c r="B112" t="s">
        <v>88</v>
      </c>
      <c r="C112" t="s">
        <v>85</v>
      </c>
      <c r="D112" t="s">
        <v>210</v>
      </c>
      <c r="E112" t="s">
        <v>211</v>
      </c>
      <c r="F112" t="s">
        <v>258</v>
      </c>
      <c r="G112" t="s">
        <v>431</v>
      </c>
    </row>
    <row r="113" spans="1:7" x14ac:dyDescent="0.25">
      <c r="A113">
        <v>14305</v>
      </c>
      <c r="B113" t="s">
        <v>88</v>
      </c>
      <c r="C113" t="s">
        <v>85</v>
      </c>
      <c r="D113" t="s">
        <v>503</v>
      </c>
      <c r="E113" t="s">
        <v>504</v>
      </c>
      <c r="F113" t="s">
        <v>258</v>
      </c>
      <c r="G113" t="s">
        <v>431</v>
      </c>
    </row>
    <row r="114" spans="1:7" x14ac:dyDescent="0.25">
      <c r="A114">
        <v>14308</v>
      </c>
      <c r="B114" t="s">
        <v>97</v>
      </c>
      <c r="C114" t="s">
        <v>85</v>
      </c>
      <c r="D114" t="s">
        <v>238</v>
      </c>
      <c r="E114" t="s">
        <v>239</v>
      </c>
      <c r="F114" t="s">
        <v>258</v>
      </c>
      <c r="G114" t="s">
        <v>432</v>
      </c>
    </row>
    <row r="115" spans="1:7" x14ac:dyDescent="0.25">
      <c r="A115">
        <v>14316</v>
      </c>
      <c r="B115" t="s">
        <v>98</v>
      </c>
      <c r="C115" t="s">
        <v>85</v>
      </c>
      <c r="D115" t="s">
        <v>343</v>
      </c>
      <c r="E115" t="s">
        <v>344</v>
      </c>
      <c r="F115" t="s">
        <v>258</v>
      </c>
      <c r="G115" t="s">
        <v>431</v>
      </c>
    </row>
    <row r="116" spans="1:7" x14ac:dyDescent="0.25">
      <c r="A116">
        <v>14316</v>
      </c>
      <c r="B116" t="s">
        <v>98</v>
      </c>
      <c r="C116" t="s">
        <v>85</v>
      </c>
      <c r="D116" t="s">
        <v>345</v>
      </c>
      <c r="E116" t="s">
        <v>346</v>
      </c>
      <c r="F116" t="s">
        <v>258</v>
      </c>
      <c r="G116" t="s">
        <v>432</v>
      </c>
    </row>
    <row r="117" spans="1:7" x14ac:dyDescent="0.25">
      <c r="A117">
        <v>14316</v>
      </c>
      <c r="B117" t="s">
        <v>98</v>
      </c>
      <c r="C117" t="s">
        <v>85</v>
      </c>
      <c r="D117" t="s">
        <v>347</v>
      </c>
      <c r="E117" t="s">
        <v>348</v>
      </c>
      <c r="F117" t="s">
        <v>258</v>
      </c>
      <c r="G117" t="s">
        <v>433</v>
      </c>
    </row>
    <row r="118" spans="1:7" x14ac:dyDescent="0.25">
      <c r="A118">
        <v>14316</v>
      </c>
      <c r="B118" t="s">
        <v>98</v>
      </c>
      <c r="C118" t="s">
        <v>85</v>
      </c>
      <c r="D118" t="s">
        <v>349</v>
      </c>
      <c r="E118" t="s">
        <v>350</v>
      </c>
      <c r="F118" t="s">
        <v>258</v>
      </c>
      <c r="G118" t="s">
        <v>433</v>
      </c>
    </row>
    <row r="119" spans="1:7" x14ac:dyDescent="0.25">
      <c r="A119">
        <v>14316</v>
      </c>
      <c r="B119" t="s">
        <v>98</v>
      </c>
      <c r="C119" t="s">
        <v>85</v>
      </c>
      <c r="D119" t="s">
        <v>351</v>
      </c>
      <c r="E119" t="s">
        <v>352</v>
      </c>
      <c r="F119" t="s">
        <v>258</v>
      </c>
      <c r="G119" t="s">
        <v>432</v>
      </c>
    </row>
    <row r="120" spans="1:7" x14ac:dyDescent="0.25">
      <c r="A120">
        <v>14316</v>
      </c>
      <c r="B120" t="s">
        <v>98</v>
      </c>
      <c r="C120" t="s">
        <v>85</v>
      </c>
      <c r="D120" t="s">
        <v>318</v>
      </c>
      <c r="E120" t="s">
        <v>318</v>
      </c>
      <c r="F120" t="s">
        <v>258</v>
      </c>
      <c r="G120" t="s">
        <v>432</v>
      </c>
    </row>
    <row r="121" spans="1:7" x14ac:dyDescent="0.25">
      <c r="A121">
        <v>14316</v>
      </c>
      <c r="B121" t="s">
        <v>98</v>
      </c>
      <c r="C121" t="s">
        <v>85</v>
      </c>
      <c r="D121" t="s">
        <v>318</v>
      </c>
      <c r="E121" t="s">
        <v>318</v>
      </c>
      <c r="F121" t="s">
        <v>258</v>
      </c>
      <c r="G121" t="s">
        <v>432</v>
      </c>
    </row>
    <row r="122" spans="1:7" x14ac:dyDescent="0.25">
      <c r="A122">
        <v>14329</v>
      </c>
      <c r="B122" t="s">
        <v>111</v>
      </c>
      <c r="C122" t="s">
        <v>85</v>
      </c>
      <c r="D122" t="s">
        <v>353</v>
      </c>
      <c r="E122" t="s">
        <v>354</v>
      </c>
      <c r="F122" t="s">
        <v>258</v>
      </c>
      <c r="G122" t="s">
        <v>431</v>
      </c>
    </row>
    <row r="123" spans="1:7" x14ac:dyDescent="0.25">
      <c r="A123">
        <v>14338</v>
      </c>
      <c r="B123" t="s">
        <v>112</v>
      </c>
      <c r="C123" t="s">
        <v>85</v>
      </c>
      <c r="D123" t="s">
        <v>357</v>
      </c>
      <c r="E123" t="s">
        <v>358</v>
      </c>
      <c r="F123" t="s">
        <v>258</v>
      </c>
      <c r="G123" t="s">
        <v>432</v>
      </c>
    </row>
    <row r="124" spans="1:7" x14ac:dyDescent="0.25">
      <c r="A124">
        <v>14338</v>
      </c>
      <c r="B124" t="s">
        <v>112</v>
      </c>
      <c r="C124" t="s">
        <v>85</v>
      </c>
      <c r="D124" t="s">
        <v>359</v>
      </c>
      <c r="E124" t="s">
        <v>360</v>
      </c>
      <c r="F124" t="s">
        <v>258</v>
      </c>
      <c r="G124" t="s">
        <v>431</v>
      </c>
    </row>
    <row r="125" spans="1:7" x14ac:dyDescent="0.25">
      <c r="A125">
        <v>14338</v>
      </c>
      <c r="B125" t="s">
        <v>112</v>
      </c>
      <c r="C125" t="s">
        <v>85</v>
      </c>
      <c r="D125" t="s">
        <v>361</v>
      </c>
      <c r="E125" t="s">
        <v>362</v>
      </c>
      <c r="F125" t="s">
        <v>258</v>
      </c>
      <c r="G125" t="s">
        <v>431</v>
      </c>
    </row>
    <row r="126" spans="1:7" x14ac:dyDescent="0.25">
      <c r="A126">
        <v>14338</v>
      </c>
      <c r="B126" t="s">
        <v>112</v>
      </c>
      <c r="C126" t="s">
        <v>85</v>
      </c>
      <c r="D126" t="s">
        <v>212</v>
      </c>
      <c r="E126" t="s">
        <v>213</v>
      </c>
      <c r="F126" t="s">
        <v>258</v>
      </c>
      <c r="G126" t="s">
        <v>449</v>
      </c>
    </row>
    <row r="127" spans="1:7" x14ac:dyDescent="0.25">
      <c r="A127">
        <v>14338</v>
      </c>
      <c r="B127" t="s">
        <v>112</v>
      </c>
      <c r="C127" t="s">
        <v>85</v>
      </c>
      <c r="D127" t="s">
        <v>445</v>
      </c>
      <c r="E127" t="s">
        <v>446</v>
      </c>
      <c r="F127" t="s">
        <v>258</v>
      </c>
      <c r="G127" t="s">
        <v>431</v>
      </c>
    </row>
    <row r="128" spans="1:7" x14ac:dyDescent="0.25">
      <c r="A128">
        <v>14338</v>
      </c>
      <c r="B128" t="s">
        <v>112</v>
      </c>
      <c r="C128" t="s">
        <v>85</v>
      </c>
      <c r="D128" t="s">
        <v>493</v>
      </c>
      <c r="E128" t="s">
        <v>494</v>
      </c>
      <c r="F128" t="s">
        <v>258</v>
      </c>
      <c r="G128" t="s">
        <v>432</v>
      </c>
    </row>
    <row r="129" spans="1:7" x14ac:dyDescent="0.25">
      <c r="A129">
        <v>14409</v>
      </c>
      <c r="B129" t="s">
        <v>113</v>
      </c>
      <c r="C129" t="s">
        <v>85</v>
      </c>
      <c r="D129" t="s">
        <v>523</v>
      </c>
      <c r="E129" t="s">
        <v>524</v>
      </c>
      <c r="F129" t="s">
        <v>258</v>
      </c>
      <c r="G129" t="s">
        <v>447</v>
      </c>
    </row>
    <row r="130" spans="1:7" x14ac:dyDescent="0.25">
      <c r="A130">
        <v>14409</v>
      </c>
      <c r="B130" t="s">
        <v>113</v>
      </c>
      <c r="C130" t="s">
        <v>85</v>
      </c>
      <c r="D130" t="s">
        <v>525</v>
      </c>
      <c r="E130" t="s">
        <v>526</v>
      </c>
      <c r="F130" t="s">
        <v>258</v>
      </c>
      <c r="G130" t="s">
        <v>440</v>
      </c>
    </row>
    <row r="131" spans="1:7" x14ac:dyDescent="0.25">
      <c r="A131">
        <v>14409</v>
      </c>
      <c r="B131" t="s">
        <v>113</v>
      </c>
      <c r="C131" t="s">
        <v>85</v>
      </c>
      <c r="D131" t="s">
        <v>365</v>
      </c>
      <c r="E131" t="s">
        <v>366</v>
      </c>
      <c r="F131" t="s">
        <v>258</v>
      </c>
      <c r="G131" t="s">
        <v>428</v>
      </c>
    </row>
    <row r="132" spans="1:7" x14ac:dyDescent="0.25">
      <c r="A132">
        <v>14530</v>
      </c>
      <c r="B132" t="s">
        <v>114</v>
      </c>
      <c r="C132" t="s">
        <v>85</v>
      </c>
      <c r="D132" t="s">
        <v>367</v>
      </c>
      <c r="E132" t="s">
        <v>368</v>
      </c>
      <c r="F132" t="s">
        <v>258</v>
      </c>
      <c r="G132" t="s">
        <v>428</v>
      </c>
    </row>
    <row r="133" spans="1:7" x14ac:dyDescent="0.25">
      <c r="A133">
        <v>14550</v>
      </c>
      <c r="B133" t="s">
        <v>89</v>
      </c>
      <c r="C133" t="s">
        <v>85</v>
      </c>
      <c r="D133" t="s">
        <v>369</v>
      </c>
      <c r="E133" t="s">
        <v>370</v>
      </c>
      <c r="F133" t="s">
        <v>258</v>
      </c>
      <c r="G133" t="s">
        <v>428</v>
      </c>
    </row>
    <row r="134" spans="1:7" x14ac:dyDescent="0.25">
      <c r="A134">
        <v>14550</v>
      </c>
      <c r="B134" t="s">
        <v>89</v>
      </c>
      <c r="C134" t="s">
        <v>85</v>
      </c>
      <c r="D134" t="s">
        <v>371</v>
      </c>
      <c r="E134" t="s">
        <v>372</v>
      </c>
      <c r="F134" t="s">
        <v>258</v>
      </c>
      <c r="G134" t="s">
        <v>428</v>
      </c>
    </row>
    <row r="135" spans="1:7" x14ac:dyDescent="0.25">
      <c r="A135">
        <v>14598</v>
      </c>
      <c r="B135" t="s">
        <v>104</v>
      </c>
      <c r="C135" t="s">
        <v>85</v>
      </c>
      <c r="D135" t="s">
        <v>373</v>
      </c>
      <c r="E135" t="s">
        <v>374</v>
      </c>
      <c r="F135" t="s">
        <v>258</v>
      </c>
      <c r="G135" t="s">
        <v>433</v>
      </c>
    </row>
    <row r="136" spans="1:7" x14ac:dyDescent="0.25">
      <c r="A136">
        <v>14598</v>
      </c>
      <c r="B136" t="s">
        <v>104</v>
      </c>
      <c r="C136" t="s">
        <v>85</v>
      </c>
      <c r="D136" t="s">
        <v>375</v>
      </c>
      <c r="E136" t="s">
        <v>376</v>
      </c>
      <c r="F136" t="s">
        <v>258</v>
      </c>
      <c r="G136" t="s">
        <v>448</v>
      </c>
    </row>
    <row r="137" spans="1:7" x14ac:dyDescent="0.25">
      <c r="A137">
        <v>14598</v>
      </c>
      <c r="B137" t="s">
        <v>104</v>
      </c>
      <c r="C137" t="s">
        <v>85</v>
      </c>
      <c r="D137" t="s">
        <v>495</v>
      </c>
      <c r="E137" t="s">
        <v>496</v>
      </c>
      <c r="F137" t="s">
        <v>258</v>
      </c>
      <c r="G137" t="s">
        <v>432</v>
      </c>
    </row>
    <row r="138" spans="1:7" x14ac:dyDescent="0.25">
      <c r="A138">
        <v>14606</v>
      </c>
      <c r="B138" t="s">
        <v>115</v>
      </c>
      <c r="C138" t="s">
        <v>85</v>
      </c>
      <c r="D138" t="s">
        <v>377</v>
      </c>
      <c r="E138" t="s">
        <v>378</v>
      </c>
      <c r="F138" t="s">
        <v>258</v>
      </c>
      <c r="G138" t="s">
        <v>433</v>
      </c>
    </row>
    <row r="139" spans="1:7" x14ac:dyDescent="0.25">
      <c r="A139">
        <v>14606</v>
      </c>
      <c r="B139" t="s">
        <v>115</v>
      </c>
      <c r="C139" t="s">
        <v>85</v>
      </c>
      <c r="D139" t="s">
        <v>375</v>
      </c>
      <c r="E139" t="s">
        <v>376</v>
      </c>
      <c r="F139" t="s">
        <v>258</v>
      </c>
      <c r="G139" t="s">
        <v>448</v>
      </c>
    </row>
    <row r="140" spans="1:7" x14ac:dyDescent="0.25">
      <c r="A140">
        <v>14657</v>
      </c>
      <c r="B140" t="s">
        <v>134</v>
      </c>
      <c r="C140" t="s">
        <v>85</v>
      </c>
      <c r="D140" t="s">
        <v>318</v>
      </c>
      <c r="E140" t="s">
        <v>318</v>
      </c>
      <c r="F140" t="s">
        <v>258</v>
      </c>
      <c r="G140" t="s">
        <v>433</v>
      </c>
    </row>
    <row r="141" spans="1:7" x14ac:dyDescent="0.25">
      <c r="A141">
        <v>14665</v>
      </c>
      <c r="B141" t="s">
        <v>90</v>
      </c>
      <c r="C141" t="s">
        <v>85</v>
      </c>
      <c r="D141" t="s">
        <v>317</v>
      </c>
      <c r="E141" t="s">
        <v>318</v>
      </c>
      <c r="F141" t="s">
        <v>258</v>
      </c>
      <c r="G141" t="s">
        <v>432</v>
      </c>
    </row>
    <row r="142" spans="1:7" x14ac:dyDescent="0.25">
      <c r="A142">
        <v>14665</v>
      </c>
      <c r="B142" t="s">
        <v>90</v>
      </c>
      <c r="C142" t="s">
        <v>85</v>
      </c>
      <c r="D142" t="s">
        <v>230</v>
      </c>
      <c r="E142" t="s">
        <v>231</v>
      </c>
      <c r="F142" t="s">
        <v>258</v>
      </c>
      <c r="G142" t="s">
        <v>428</v>
      </c>
    </row>
    <row r="143" spans="1:7" x14ac:dyDescent="0.25">
      <c r="A143">
        <v>14665</v>
      </c>
      <c r="B143" t="s">
        <v>90</v>
      </c>
      <c r="C143" t="s">
        <v>85</v>
      </c>
      <c r="D143" t="s">
        <v>379</v>
      </c>
      <c r="E143" t="s">
        <v>380</v>
      </c>
      <c r="F143" t="s">
        <v>258</v>
      </c>
      <c r="G143" t="s">
        <v>432</v>
      </c>
    </row>
    <row r="144" spans="1:7" x14ac:dyDescent="0.25">
      <c r="A144">
        <v>14724</v>
      </c>
      <c r="B144" t="s">
        <v>117</v>
      </c>
      <c r="C144" t="s">
        <v>85</v>
      </c>
      <c r="D144" t="s">
        <v>383</v>
      </c>
      <c r="E144" t="s">
        <v>384</v>
      </c>
      <c r="F144" t="s">
        <v>258</v>
      </c>
      <c r="G144" t="s">
        <v>431</v>
      </c>
    </row>
    <row r="145" spans="1:7" x14ac:dyDescent="0.25">
      <c r="A145">
        <v>14724</v>
      </c>
      <c r="B145" t="s">
        <v>117</v>
      </c>
      <c r="C145" t="s">
        <v>85</v>
      </c>
      <c r="D145" t="s">
        <v>236</v>
      </c>
      <c r="E145" t="s">
        <v>237</v>
      </c>
      <c r="F145" t="s">
        <v>258</v>
      </c>
      <c r="G145" t="s">
        <v>432</v>
      </c>
    </row>
    <row r="146" spans="1:7" x14ac:dyDescent="0.25">
      <c r="A146">
        <v>14724</v>
      </c>
      <c r="B146" t="s">
        <v>117</v>
      </c>
      <c r="C146" t="s">
        <v>85</v>
      </c>
      <c r="D146" t="s">
        <v>252</v>
      </c>
      <c r="E146" t="s">
        <v>253</v>
      </c>
      <c r="F146" t="s">
        <v>258</v>
      </c>
      <c r="G146" t="s">
        <v>433</v>
      </c>
    </row>
    <row r="147" spans="1:7" x14ac:dyDescent="0.25">
      <c r="A147">
        <v>14724</v>
      </c>
      <c r="B147" t="s">
        <v>117</v>
      </c>
      <c r="C147" t="s">
        <v>85</v>
      </c>
      <c r="D147" t="s">
        <v>387</v>
      </c>
      <c r="E147" t="s">
        <v>388</v>
      </c>
      <c r="F147" t="s">
        <v>258</v>
      </c>
      <c r="G147" t="s">
        <v>432</v>
      </c>
    </row>
    <row r="148" spans="1:7" x14ac:dyDescent="0.25">
      <c r="A148">
        <v>14724</v>
      </c>
      <c r="B148" t="s">
        <v>117</v>
      </c>
      <c r="C148" t="s">
        <v>85</v>
      </c>
      <c r="D148" t="s">
        <v>240</v>
      </c>
      <c r="E148" t="s">
        <v>241</v>
      </c>
      <c r="F148" t="s">
        <v>258</v>
      </c>
      <c r="G148" t="s">
        <v>449</v>
      </c>
    </row>
    <row r="149" spans="1:7" x14ac:dyDescent="0.25">
      <c r="A149">
        <v>14743</v>
      </c>
      <c r="B149" t="s">
        <v>136</v>
      </c>
      <c r="C149" t="s">
        <v>85</v>
      </c>
      <c r="D149" t="s">
        <v>318</v>
      </c>
      <c r="E149" t="s">
        <v>318</v>
      </c>
      <c r="F149" t="s">
        <v>258</v>
      </c>
      <c r="G149" t="s">
        <v>428</v>
      </c>
    </row>
    <row r="150" spans="1:7" x14ac:dyDescent="0.25">
      <c r="A150">
        <v>14743</v>
      </c>
      <c r="B150" t="s">
        <v>136</v>
      </c>
      <c r="C150" t="s">
        <v>85</v>
      </c>
      <c r="D150" t="s">
        <v>389</v>
      </c>
      <c r="E150" t="s">
        <v>390</v>
      </c>
      <c r="F150" t="s">
        <v>258</v>
      </c>
      <c r="G150" t="s">
        <v>428</v>
      </c>
    </row>
    <row r="151" spans="1:7" x14ac:dyDescent="0.25">
      <c r="A151">
        <v>14743</v>
      </c>
      <c r="B151" t="s">
        <v>136</v>
      </c>
      <c r="C151" t="s">
        <v>85</v>
      </c>
      <c r="D151" t="s">
        <v>224</v>
      </c>
      <c r="E151" t="s">
        <v>225</v>
      </c>
      <c r="F151" t="s">
        <v>258</v>
      </c>
      <c r="G151" t="s">
        <v>428</v>
      </c>
    </row>
    <row r="152" spans="1:7" x14ac:dyDescent="0.25">
      <c r="A152">
        <v>14743</v>
      </c>
      <c r="B152" t="s">
        <v>136</v>
      </c>
      <c r="C152" t="s">
        <v>85</v>
      </c>
      <c r="D152" t="s">
        <v>226</v>
      </c>
      <c r="E152" t="s">
        <v>227</v>
      </c>
      <c r="F152" t="s">
        <v>258</v>
      </c>
      <c r="G152" t="s">
        <v>428</v>
      </c>
    </row>
    <row r="153" spans="1:7" x14ac:dyDescent="0.25">
      <c r="A153">
        <v>14743</v>
      </c>
      <c r="B153" t="s">
        <v>136</v>
      </c>
      <c r="C153" t="s">
        <v>85</v>
      </c>
      <c r="D153" t="s">
        <v>228</v>
      </c>
      <c r="E153" t="s">
        <v>229</v>
      </c>
      <c r="F153" t="s">
        <v>258</v>
      </c>
      <c r="G153" t="s">
        <v>428</v>
      </c>
    </row>
    <row r="154" spans="1:7" x14ac:dyDescent="0.25">
      <c r="A154">
        <v>14743</v>
      </c>
      <c r="B154" t="s">
        <v>136</v>
      </c>
      <c r="C154" t="s">
        <v>85</v>
      </c>
      <c r="D154" t="s">
        <v>318</v>
      </c>
      <c r="E154" t="s">
        <v>318</v>
      </c>
      <c r="F154" t="s">
        <v>258</v>
      </c>
      <c r="G154" t="s">
        <v>450</v>
      </c>
    </row>
    <row r="155" spans="1:7" x14ac:dyDescent="0.25">
      <c r="A155">
        <v>14743</v>
      </c>
      <c r="B155" t="s">
        <v>136</v>
      </c>
      <c r="C155" t="s">
        <v>85</v>
      </c>
      <c r="D155" t="s">
        <v>318</v>
      </c>
      <c r="E155" t="s">
        <v>318</v>
      </c>
      <c r="F155" t="s">
        <v>258</v>
      </c>
      <c r="G155" t="s">
        <v>450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1:M103"/>
  <sheetViews>
    <sheetView topLeftCell="A7" workbookViewId="0">
      <selection activeCell="D25" sqref="D25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10" max="10" width="41.85546875" bestFit="1" customWidth="1"/>
    <col min="11" max="11" width="4" bestFit="1" customWidth="1"/>
    <col min="12" max="12" width="43.42578125" customWidth="1"/>
  </cols>
  <sheetData>
    <row r="1" spans="1:3" x14ac:dyDescent="0.25">
      <c r="A1" s="66" t="s">
        <v>254</v>
      </c>
      <c r="B1" s="67" t="s">
        <v>255</v>
      </c>
      <c r="C1" s="67" t="s">
        <v>256</v>
      </c>
    </row>
    <row r="2" spans="1:3" x14ac:dyDescent="0.25">
      <c r="A2" s="64">
        <v>14009</v>
      </c>
      <c r="B2" s="65" t="s">
        <v>105</v>
      </c>
      <c r="C2" s="65" t="s">
        <v>91</v>
      </c>
    </row>
    <row r="3" spans="1:3" x14ac:dyDescent="0.25">
      <c r="A3" s="62">
        <v>14117</v>
      </c>
      <c r="B3" s="63" t="s">
        <v>109</v>
      </c>
      <c r="C3" s="63" t="s">
        <v>91</v>
      </c>
    </row>
    <row r="4" spans="1:3" x14ac:dyDescent="0.25">
      <c r="A4" s="64">
        <v>14117</v>
      </c>
      <c r="B4" s="65" t="s">
        <v>109</v>
      </c>
      <c r="C4" s="65" t="s">
        <v>91</v>
      </c>
    </row>
    <row r="5" spans="1:3" x14ac:dyDescent="0.25">
      <c r="A5" s="62">
        <v>14203</v>
      </c>
      <c r="B5" s="63" t="s">
        <v>94</v>
      </c>
      <c r="C5" s="63" t="s">
        <v>91</v>
      </c>
    </row>
    <row r="6" spans="1:3" x14ac:dyDescent="0.25">
      <c r="A6" s="64">
        <v>14227</v>
      </c>
      <c r="B6" s="65" t="s">
        <v>95</v>
      </c>
      <c r="C6" s="65" t="s">
        <v>91</v>
      </c>
    </row>
    <row r="7" spans="1:3" x14ac:dyDescent="0.25">
      <c r="A7" s="62">
        <v>14229</v>
      </c>
      <c r="B7" s="63" t="s">
        <v>86</v>
      </c>
      <c r="C7" s="63" t="s">
        <v>91</v>
      </c>
    </row>
    <row r="8" spans="1:3" x14ac:dyDescent="0.25">
      <c r="A8" s="64">
        <v>14229</v>
      </c>
      <c r="B8" s="65" t="s">
        <v>86</v>
      </c>
      <c r="C8" s="65" t="s">
        <v>91</v>
      </c>
    </row>
    <row r="9" spans="1:3" x14ac:dyDescent="0.25">
      <c r="A9" s="62">
        <v>14229</v>
      </c>
      <c r="B9" s="63" t="s">
        <v>86</v>
      </c>
      <c r="C9" s="63" t="s">
        <v>91</v>
      </c>
    </row>
    <row r="10" spans="1:3" x14ac:dyDescent="0.25">
      <c r="A10" s="64">
        <v>14231</v>
      </c>
      <c r="B10" s="65" t="s">
        <v>100</v>
      </c>
      <c r="C10" s="65" t="s">
        <v>91</v>
      </c>
    </row>
    <row r="11" spans="1:3" x14ac:dyDescent="0.25">
      <c r="A11" s="62">
        <v>14246</v>
      </c>
      <c r="B11" s="63" t="s">
        <v>129</v>
      </c>
      <c r="C11" s="63" t="s">
        <v>91</v>
      </c>
    </row>
    <row r="12" spans="1:3" x14ac:dyDescent="0.25">
      <c r="A12" s="64">
        <v>14306</v>
      </c>
      <c r="B12" s="65" t="s">
        <v>96</v>
      </c>
      <c r="C12" s="65" t="s">
        <v>91</v>
      </c>
    </row>
    <row r="13" spans="1:3" x14ac:dyDescent="0.25">
      <c r="A13" s="62">
        <v>14338</v>
      </c>
      <c r="B13" s="63" t="s">
        <v>112</v>
      </c>
      <c r="C13" s="63" t="s">
        <v>91</v>
      </c>
    </row>
    <row r="14" spans="1:3" x14ac:dyDescent="0.25">
      <c r="A14" s="64">
        <v>14409</v>
      </c>
      <c r="B14" s="65" t="s">
        <v>113</v>
      </c>
      <c r="C14" s="65" t="s">
        <v>91</v>
      </c>
    </row>
    <row r="15" spans="1:3" x14ac:dyDescent="0.25">
      <c r="A15" s="62">
        <v>14598</v>
      </c>
      <c r="B15" s="63" t="s">
        <v>104</v>
      </c>
      <c r="C15" s="63" t="s">
        <v>91</v>
      </c>
    </row>
    <row r="16" spans="1:3" x14ac:dyDescent="0.25">
      <c r="A16" s="64">
        <v>14665</v>
      </c>
      <c r="B16" s="65" t="s">
        <v>90</v>
      </c>
      <c r="C16" s="65" t="s">
        <v>91</v>
      </c>
    </row>
    <row r="17" spans="1:13" x14ac:dyDescent="0.25">
      <c r="A17" s="62">
        <v>14743</v>
      </c>
      <c r="B17" s="63" t="s">
        <v>136</v>
      </c>
      <c r="C17" s="63" t="s">
        <v>91</v>
      </c>
    </row>
    <row r="18" spans="1:13" x14ac:dyDescent="0.25">
      <c r="A18" s="64">
        <v>14743</v>
      </c>
      <c r="B18" s="65" t="s">
        <v>136</v>
      </c>
      <c r="C18" s="65" t="s">
        <v>91</v>
      </c>
    </row>
    <row r="22" spans="1:13" x14ac:dyDescent="0.25">
      <c r="D22" s="117" t="s">
        <v>497</v>
      </c>
      <c r="E22" s="117"/>
      <c r="F22" s="117"/>
      <c r="G22" s="117" t="s">
        <v>498</v>
      </c>
      <c r="H22" s="117"/>
      <c r="I22" s="117"/>
    </row>
    <row r="23" spans="1:13" ht="38.25" x14ac:dyDescent="0.25">
      <c r="A23" s="68" t="s">
        <v>119</v>
      </c>
      <c r="B23" s="68" t="s">
        <v>120</v>
      </c>
      <c r="C23" s="69" t="s">
        <v>451</v>
      </c>
      <c r="D23" s="72" t="s">
        <v>452</v>
      </c>
      <c r="E23" s="72" t="s">
        <v>453</v>
      </c>
      <c r="F23" s="72" t="s">
        <v>454</v>
      </c>
      <c r="G23" s="72" t="s">
        <v>455</v>
      </c>
      <c r="H23" s="76" t="s">
        <v>464</v>
      </c>
      <c r="I23" s="72" t="s">
        <v>475</v>
      </c>
      <c r="L23" s="73" t="s">
        <v>456</v>
      </c>
    </row>
    <row r="24" spans="1:13" x14ac:dyDescent="0.25">
      <c r="A24" s="70">
        <v>14012</v>
      </c>
      <c r="B24" s="70" t="s">
        <v>84</v>
      </c>
      <c r="C24" s="13">
        <v>1</v>
      </c>
      <c r="D24" s="13">
        <f>+COUNTIFS(BDD_SUIVI_CHANTIERS[code_insee],PRIORISATION!A24,BDD_SUIVI_CHANTIERS[type],"Dalle cabane à cartons")</f>
        <v>0</v>
      </c>
      <c r="E24" s="13">
        <f>+COUNTIFS(BDD_SUIVI_CHANTIERS[code_insee],PRIORISATION!A24,BDD_SUIVI_CHANTIERS[type],"DALLE PDR")</f>
        <v>4</v>
      </c>
      <c r="F24" s="13">
        <f>+COUNTIFS(BDD_SUIVI_CHANTIERS[code_insee],PRIORISATION!A24,BDD_SUIVI_CHANTIERS[type],"Dalle borne à verre")</f>
        <v>0</v>
      </c>
      <c r="G24" s="113" t="str">
        <f t="shared" ref="G24:G61" si="0">IF($H24&gt;=$M$33,"P1 - Critique",IF($H24&gt;=$M$34,"P2 - Haute",IF($H24&gt;=$M$35,"P3 - Moyenne","P4 - Basse")))</f>
        <v>P2 - Haute</v>
      </c>
      <c r="H24" s="113" cm="1">
        <f t="array" ref="H24">INDEX($M$24:$M$27,$C24)+IFERROR(VLOOKUP(N($D24),$L$54:$M$57,2,TRUE),0)+IFERROR(VLOOKUP(N($E24),$L$39:$M$43,2,TRUE),0)+IFERROR(VLOOKUP(N($F24),$L$47:$M$50,2,TRUE),0)</f>
        <v>45</v>
      </c>
      <c r="I24" s="13">
        <f>+RANK(H24,$H$24:$H$61,0)</f>
        <v>9</v>
      </c>
      <c r="L24" t="s">
        <v>457</v>
      </c>
      <c r="M24" s="74">
        <v>30</v>
      </c>
    </row>
    <row r="25" spans="1:13" x14ac:dyDescent="0.25">
      <c r="A25" s="71">
        <v>14229</v>
      </c>
      <c r="B25" s="71" t="s">
        <v>86</v>
      </c>
      <c r="C25" s="13">
        <v>1</v>
      </c>
      <c r="D25" s="13">
        <f>+COUNTIFS(BDD_SUIVI_CHANTIERS[code_insee],PRIORISATION!A25,BDD_SUIVI_CHANTIERS[type],"Dalle cabane à cartons")</f>
        <v>3</v>
      </c>
      <c r="E25" s="13">
        <f>+COUNTIFS(BDD_SUIVI_CHANTIERS[code_insee],PRIORISATION!A25,BDD_SUIVI_CHANTIERS[type],"DALLE PDR")</f>
        <v>13</v>
      </c>
      <c r="F25" s="13">
        <f>+COUNTIFS(BDD_SUIVI_CHANTIERS[code_insee],PRIORISATION!A25,BDD_SUIVI_CHANTIERS[type],"Dalle borne à verre")</f>
        <v>1</v>
      </c>
      <c r="G25" s="113" t="str">
        <f t="shared" si="0"/>
        <v>P1 - Critique</v>
      </c>
      <c r="H25" s="113" cm="1">
        <f t="array" ref="H25">INDEX($M$24:$M$27,$C25)+IFERROR(VLOOKUP(N($D25),$L$54:$M$57,2,TRUE),0)+IFERROR(VLOOKUP(N($E25),$L$39:$M$43,2,TRUE),0)+IFERROR(VLOOKUP(N($F25),$L$47:$M$50,2,TRUE),0)</f>
        <v>84</v>
      </c>
      <c r="I25" s="13">
        <f t="shared" ref="I25:I61" si="1">+RANK(H25,$H$24:$H$61,0)</f>
        <v>1</v>
      </c>
      <c r="L25" t="s">
        <v>458</v>
      </c>
      <c r="M25" s="74">
        <v>20</v>
      </c>
    </row>
    <row r="26" spans="1:13" x14ac:dyDescent="0.25">
      <c r="A26" s="71">
        <v>14305</v>
      </c>
      <c r="B26" s="71" t="s">
        <v>88</v>
      </c>
      <c r="C26" s="13">
        <v>1</v>
      </c>
      <c r="D26" s="13">
        <f>+COUNTIFS(BDD_SUIVI_CHANTIERS[code_insee],PRIORISATION!A26,BDD_SUIVI_CHANTIERS[type],"Dalle cabane à cartons")</f>
        <v>0</v>
      </c>
      <c r="E26" s="13">
        <f>+COUNTIFS(BDD_SUIVI_CHANTIERS[code_insee],PRIORISATION!A26,BDD_SUIVI_CHANTIERS[type],"DALLE PDR")</f>
        <v>10</v>
      </c>
      <c r="F26" s="13">
        <f>+COUNTIFS(BDD_SUIVI_CHANTIERS[code_insee],PRIORISATION!A26,BDD_SUIVI_CHANTIERS[type],"Dalle borne à verre")</f>
        <v>2</v>
      </c>
      <c r="G26" s="113" t="str">
        <f t="shared" si="0"/>
        <v>P1 - Critique</v>
      </c>
      <c r="H26" s="113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3</v>
      </c>
      <c r="L26" t="s">
        <v>459</v>
      </c>
      <c r="M26" s="74">
        <v>10</v>
      </c>
    </row>
    <row r="27" spans="1:13" x14ac:dyDescent="0.25">
      <c r="A27" s="70">
        <v>14335</v>
      </c>
      <c r="B27" s="70" t="s">
        <v>131</v>
      </c>
      <c r="C27" s="13">
        <v>1</v>
      </c>
      <c r="D27" s="13">
        <f>+COUNTIFS(BDD_SUIVI_CHANTIERS[code_insee],PRIORISATION!A27,BDD_SUIVI_CHANTIERS[type],"Dalle cabane à cartons")</f>
        <v>0</v>
      </c>
      <c r="E27" s="13">
        <f>+COUNTIFS(BDD_SUIVI_CHANTIERS[code_insee],PRIORISATION!A27,BDD_SUIVI_CHANTIERS[type],"DALLE PDR")</f>
        <v>0</v>
      </c>
      <c r="F27" s="13">
        <f>+COUNTIFS(BDD_SUIVI_CHANTIERS[code_insee],PRIORISATION!A27,BDD_SUIVI_CHANTIERS[type],"Dalle borne à verre")</f>
        <v>0</v>
      </c>
      <c r="G27" s="113" t="str">
        <f t="shared" si="0"/>
        <v>P3 - Moyenne</v>
      </c>
      <c r="H27" s="113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18</v>
      </c>
      <c r="L27" t="s">
        <v>460</v>
      </c>
      <c r="M27" s="74">
        <v>0</v>
      </c>
    </row>
    <row r="28" spans="1:13" x14ac:dyDescent="0.25">
      <c r="A28" s="70">
        <v>14550</v>
      </c>
      <c r="B28" s="70" t="s">
        <v>89</v>
      </c>
      <c r="C28" s="13">
        <v>1</v>
      </c>
      <c r="D28" s="13">
        <f>+COUNTIFS(BDD_SUIVI_CHANTIERS[code_insee],PRIORISATION!A28,BDD_SUIVI_CHANTIERS[type],"Dalle cabane à cartons")</f>
        <v>0</v>
      </c>
      <c r="E28" s="13">
        <f>+COUNTIFS(BDD_SUIVI_CHANTIERS[code_insee],PRIORISATION!A28,BDD_SUIVI_CHANTIERS[type],"DALLE PDR")</f>
        <v>2</v>
      </c>
      <c r="F28" s="13">
        <f>+COUNTIFS(BDD_SUIVI_CHANTIERS[code_insee],PRIORISATION!A28,BDD_SUIVI_CHANTIERS[type],"Dalle borne à verre")</f>
        <v>1</v>
      </c>
      <c r="G28" s="113" t="str">
        <f t="shared" si="0"/>
        <v>P2 - Haute</v>
      </c>
      <c r="H28" s="113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11</v>
      </c>
      <c r="L28" s="77" t="s">
        <v>472</v>
      </c>
      <c r="M28" s="74"/>
    </row>
    <row r="29" spans="1:13" x14ac:dyDescent="0.25">
      <c r="A29" s="71">
        <v>14665</v>
      </c>
      <c r="B29" s="71" t="s">
        <v>90</v>
      </c>
      <c r="C29" s="13">
        <v>2</v>
      </c>
      <c r="D29" s="13">
        <f>+COUNTIFS(BDD_SUIVI_CHANTIERS[code_insee],PRIORISATION!A29,BDD_SUIVI_CHANTIERS[type],"Dalle cabane à cartons")</f>
        <v>1</v>
      </c>
      <c r="E29" s="13">
        <f>+COUNTIFS(BDD_SUIVI_CHANTIERS[code_insee],PRIORISATION!A29,BDD_SUIVI_CHANTIERS[type],"DALLE PDR")</f>
        <v>3</v>
      </c>
      <c r="F29" s="13">
        <f>+COUNTIFS(BDD_SUIVI_CHANTIERS[code_insee],PRIORISATION!A29,BDD_SUIVI_CHANTIERS[type],"Dalle borne à verre")</f>
        <v>1</v>
      </c>
      <c r="G29" s="113" t="str">
        <f t="shared" si="0"/>
        <v>P2 - Haute</v>
      </c>
      <c r="H29" s="113" cm="1">
        <f t="array" ref="H29">INDEX($M$24:$M$27,$C29)+IFERROR(VLOOKUP(N($D29),$L$54:$M$57,2,TRUE),0)+IFERROR(VLOOKUP(N($E29),$L$39:$M$43,2,TRUE),0)+IFERROR(VLOOKUP(N($F29),$L$47:$M$50,2,TRUE),0)</f>
        <v>54</v>
      </c>
      <c r="I29" s="13">
        <f t="shared" si="1"/>
        <v>4</v>
      </c>
      <c r="L29" s="77" t="s">
        <v>465</v>
      </c>
      <c r="M29" s="74"/>
    </row>
    <row r="30" spans="1:13" x14ac:dyDescent="0.25">
      <c r="A30" s="70">
        <v>14743</v>
      </c>
      <c r="B30" s="70" t="s">
        <v>136</v>
      </c>
      <c r="C30" s="13">
        <v>1</v>
      </c>
      <c r="D30" s="13">
        <f>+COUNTIFS(BDD_SUIVI_CHANTIERS[code_insee],PRIORISATION!A30,BDD_SUIVI_CHANTIERS[type],"Dalle cabane à cartons")</f>
        <v>2</v>
      </c>
      <c r="E30" s="13">
        <f>+COUNTIFS(BDD_SUIVI_CHANTIERS[code_insee],PRIORISATION!A30,BDD_SUIVI_CHANTIERS[type],"DALLE PDR")</f>
        <v>7</v>
      </c>
      <c r="F30" s="13">
        <f>+COUNTIFS(BDD_SUIVI_CHANTIERS[code_insee],PRIORISATION!A30,BDD_SUIVI_CHANTIERS[type],"Dalle borne à verre")</f>
        <v>1</v>
      </c>
      <c r="G30" s="113" t="str">
        <f t="shared" si="0"/>
        <v>P1 - Critique</v>
      </c>
      <c r="H30" s="113" cm="1">
        <f t="array" ref="H30">INDEX($M$24:$M$27,$C30)+IFERROR(VLOOKUP(N($D30),$L$54:$M$57,2,TRUE),0)+IFERROR(VLOOKUP(N($E30),$L$39:$M$43,2,TRUE),0)+IFERROR(VLOOKUP(N($F30),$L$47:$M$50,2,TRUE),0)</f>
        <v>74</v>
      </c>
      <c r="I30" s="13">
        <f t="shared" si="1"/>
        <v>2</v>
      </c>
      <c r="M30" s="74"/>
    </row>
    <row r="31" spans="1:13" x14ac:dyDescent="0.25">
      <c r="A31" s="70">
        <v>14198</v>
      </c>
      <c r="B31" s="70" t="s">
        <v>93</v>
      </c>
      <c r="C31" s="13">
        <v>2</v>
      </c>
      <c r="D31" s="13">
        <f>+COUNTIFS(BDD_SUIVI_CHANTIERS[code_insee],PRIORISATION!A31,BDD_SUIVI_CHANTIERS[type],"Dalle cabane à cartons")</f>
        <v>0</v>
      </c>
      <c r="E31" s="13">
        <f>+COUNTIFS(BDD_SUIVI_CHANTIERS[code_insee],PRIORISATION!A31,BDD_SUIVI_CHANTIERS[type],"DALLE PDR")</f>
        <v>1</v>
      </c>
      <c r="F31" s="13">
        <f>+COUNTIFS(BDD_SUIVI_CHANTIERS[code_insee],PRIORISATION!A31,BDD_SUIVI_CHANTIERS[type],"Dalle borne à verre")</f>
        <v>1</v>
      </c>
      <c r="G31" s="113" t="str">
        <f t="shared" si="0"/>
        <v>P3 - Moyenne</v>
      </c>
      <c r="H31" s="113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16</v>
      </c>
      <c r="L31" s="77" t="s">
        <v>469</v>
      </c>
      <c r="M31" s="74"/>
    </row>
    <row r="32" spans="1:13" x14ac:dyDescent="0.25">
      <c r="A32" s="70">
        <v>14203</v>
      </c>
      <c r="B32" s="70" t="s">
        <v>94</v>
      </c>
      <c r="C32" s="13">
        <v>2</v>
      </c>
      <c r="D32" s="13">
        <f>+COUNTIFS(BDD_SUIVI_CHANTIERS[code_insee],PRIORISATION!A32,BDD_SUIVI_CHANTIERS[type],"Dalle cabane à cartons")</f>
        <v>1</v>
      </c>
      <c r="E32" s="13">
        <f>+COUNTIFS(BDD_SUIVI_CHANTIERS[code_insee],PRIORISATION!A32,BDD_SUIVI_CHANTIERS[type],"DALLE PDR")</f>
        <v>1</v>
      </c>
      <c r="F32" s="13">
        <f>+COUNTIFS(BDD_SUIVI_CHANTIERS[code_insee],PRIORISATION!A32,BDD_SUIVI_CHANTIERS[type],"Dalle borne à verre")</f>
        <v>0</v>
      </c>
      <c r="G32" s="113" t="str">
        <f t="shared" si="0"/>
        <v>P2 - Haute</v>
      </c>
      <c r="H32" s="113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9</v>
      </c>
    </row>
    <row r="33" spans="1:13" x14ac:dyDescent="0.25">
      <c r="A33" s="71">
        <v>14227</v>
      </c>
      <c r="B33" s="71" t="s">
        <v>95</v>
      </c>
      <c r="C33" s="13">
        <v>2</v>
      </c>
      <c r="D33" s="13">
        <f>+COUNTIFS(BDD_SUIVI_CHANTIERS[code_insee],PRIORISATION!A33,BDD_SUIVI_CHANTIERS[type],"Dalle cabane à cartons")</f>
        <v>1</v>
      </c>
      <c r="E33" s="13">
        <f>+COUNTIFS(BDD_SUIVI_CHANTIERS[code_insee],PRIORISATION!A33,BDD_SUIVI_CHANTIERS[type],"DALLE PDR")</f>
        <v>3</v>
      </c>
      <c r="F33" s="13">
        <f>+COUNTIFS(BDD_SUIVI_CHANTIERS[code_insee],PRIORISATION!A33,BDD_SUIVI_CHANTIERS[type],"Dalle borne à verre")</f>
        <v>1</v>
      </c>
      <c r="G33" s="113" t="str">
        <f t="shared" si="0"/>
        <v>P2 - Haute</v>
      </c>
      <c r="H33" s="113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4</v>
      </c>
      <c r="L33" s="75" t="s">
        <v>461</v>
      </c>
      <c r="M33" s="74">
        <v>55</v>
      </c>
    </row>
    <row r="34" spans="1:13" x14ac:dyDescent="0.25">
      <c r="A34" s="70">
        <v>14306</v>
      </c>
      <c r="B34" s="70" t="s">
        <v>96</v>
      </c>
      <c r="C34" s="13">
        <v>2</v>
      </c>
      <c r="D34" s="13">
        <f>+COUNTIFS(BDD_SUIVI_CHANTIERS[code_insee],PRIORISATION!A34,BDD_SUIVI_CHANTIERS[type],"Dalle cabane à cartons")</f>
        <v>1</v>
      </c>
      <c r="E34" s="13">
        <f>+COUNTIFS(BDD_SUIVI_CHANTIERS[code_insee],PRIORISATION!A34,BDD_SUIVI_CHANTIERS[type],"DALLE PDR")</f>
        <v>3</v>
      </c>
      <c r="F34" s="13">
        <f>+COUNTIFS(BDD_SUIVI_CHANTIERS[code_insee],PRIORISATION!A34,BDD_SUIVI_CHANTIERS[type],"Dalle borne à verre")</f>
        <v>1</v>
      </c>
      <c r="G34" s="113" t="str">
        <f t="shared" si="0"/>
        <v>P2 - Haute</v>
      </c>
      <c r="H34" s="113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4</v>
      </c>
      <c r="L34" s="75" t="s">
        <v>462</v>
      </c>
      <c r="M34" s="74">
        <v>40</v>
      </c>
    </row>
    <row r="35" spans="1:13" x14ac:dyDescent="0.25">
      <c r="A35" s="70">
        <v>14308</v>
      </c>
      <c r="B35" s="70" t="s">
        <v>97</v>
      </c>
      <c r="C35" s="13">
        <v>2</v>
      </c>
      <c r="D35" s="13">
        <f>+COUNTIFS(BDD_SUIVI_CHANTIERS[code_insee],PRIORISATION!A35,BDD_SUIVI_CHANTIERS[type],"Dalle cabane à cartons")</f>
        <v>0</v>
      </c>
      <c r="E35" s="13">
        <f>+COUNTIFS(BDD_SUIVI_CHANTIERS[code_insee],PRIORISATION!A35,BDD_SUIVI_CHANTIERS[type],"DALLE PDR")</f>
        <v>1</v>
      </c>
      <c r="F35" s="13">
        <f>+COUNTIFS(BDD_SUIVI_CHANTIERS[code_insee],PRIORISATION!A35,BDD_SUIVI_CHANTIERS[type],"Dalle borne à verre")</f>
        <v>0</v>
      </c>
      <c r="G35" s="113" t="str">
        <f t="shared" si="0"/>
        <v>P3 - Moyenne</v>
      </c>
      <c r="H35" s="113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18</v>
      </c>
      <c r="L35" s="75" t="s">
        <v>463</v>
      </c>
      <c r="M35" s="74">
        <v>30</v>
      </c>
    </row>
    <row r="36" spans="1:13" x14ac:dyDescent="0.25">
      <c r="A36" s="70">
        <v>14316</v>
      </c>
      <c r="B36" s="70" t="s">
        <v>98</v>
      </c>
      <c r="C36" s="13">
        <v>1</v>
      </c>
      <c r="D36" s="13">
        <f>+COUNTIFS(BDD_SUIVI_CHANTIERS[code_insee],PRIORISATION!A36,BDD_SUIVI_CHANTIERS[type],"Dalle cabane à cartons")</f>
        <v>0</v>
      </c>
      <c r="E36" s="13">
        <f>+COUNTIFS(BDD_SUIVI_CHANTIERS[code_insee],PRIORISATION!A36,BDD_SUIVI_CHANTIERS[type],"DALLE PDR")</f>
        <v>7</v>
      </c>
      <c r="F36" s="13">
        <f>+COUNTIFS(BDD_SUIVI_CHANTIERS[code_insee],PRIORISATION!A36,BDD_SUIVI_CHANTIERS[type],"Dalle borne à verre")</f>
        <v>0</v>
      </c>
      <c r="G36" s="113" t="str">
        <f t="shared" si="0"/>
        <v>P2 - Haute</v>
      </c>
      <c r="H36" s="113" cm="1">
        <f t="array" ref="H36">INDEX($M$24:$M$27,$C36)+IFERROR(VLOOKUP(N($D36),$L$54:$M$57,2,TRUE),0)+IFERROR(VLOOKUP(N($E36),$L$39:$M$43,2,TRUE),0)+IFERROR(VLOOKUP(N($F36),$L$47:$M$50,2,TRUE),0)</f>
        <v>50</v>
      </c>
      <c r="I36" s="13">
        <f t="shared" si="1"/>
        <v>7</v>
      </c>
    </row>
    <row r="37" spans="1:13" x14ac:dyDescent="0.25">
      <c r="A37" s="71">
        <v>14045</v>
      </c>
      <c r="B37" s="71" t="s">
        <v>99</v>
      </c>
      <c r="C37" s="13">
        <v>3</v>
      </c>
      <c r="D37" s="13">
        <f>+COUNTIFS(BDD_SUIVI_CHANTIERS[code_insee],PRIORISATION!A37,BDD_SUIVI_CHANTIERS[type],"Dalle cabane à cartons")</f>
        <v>0</v>
      </c>
      <c r="E37" s="13">
        <f>+COUNTIFS(BDD_SUIVI_CHANTIERS[code_insee],PRIORISATION!A37,BDD_SUIVI_CHANTIERS[type],"DALLE PDR")</f>
        <v>4</v>
      </c>
      <c r="F37" s="13">
        <f>+COUNTIFS(BDD_SUIVI_CHANTIERS[code_insee],PRIORISATION!A37,BDD_SUIVI_CHANTIERS[type],"Dalle borne à verre")</f>
        <v>0</v>
      </c>
      <c r="G37" s="113" t="str">
        <f t="shared" si="0"/>
        <v>P4 - Basse</v>
      </c>
      <c r="H37" s="113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25</v>
      </c>
      <c r="L37" s="78" t="s">
        <v>466</v>
      </c>
    </row>
    <row r="38" spans="1:13" x14ac:dyDescent="0.25">
      <c r="A38" s="71">
        <v>14231</v>
      </c>
      <c r="B38" s="71" t="s">
        <v>100</v>
      </c>
      <c r="C38" s="13">
        <v>3</v>
      </c>
      <c r="D38" s="13">
        <f>+COUNTIFS(BDD_SUIVI_CHANTIERS[code_insee],PRIORISATION!A38,BDD_SUIVI_CHANTIERS[type],"Dalle cabane à cartons")</f>
        <v>1</v>
      </c>
      <c r="E38" s="13">
        <f>+COUNTIFS(BDD_SUIVI_CHANTIERS[code_insee],PRIORISATION!A38,BDD_SUIVI_CHANTIERS[type],"DALLE PDR")</f>
        <v>1</v>
      </c>
      <c r="F38" s="13">
        <f>+COUNTIFS(BDD_SUIVI_CHANTIERS[code_insee],PRIORISATION!A38,BDD_SUIVI_CHANTIERS[type],"Dalle borne à verre")</f>
        <v>0</v>
      </c>
      <c r="G38" s="113" t="str">
        <f t="shared" si="0"/>
        <v>P3 - Moyenne</v>
      </c>
      <c r="H38" s="113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15</v>
      </c>
      <c r="L38" s="75" t="s">
        <v>467</v>
      </c>
      <c r="M38" s="75" t="s">
        <v>468</v>
      </c>
    </row>
    <row r="39" spans="1:13" x14ac:dyDescent="0.25">
      <c r="A39" s="70">
        <v>14070</v>
      </c>
      <c r="B39" s="70" t="s">
        <v>101</v>
      </c>
      <c r="C39" s="13">
        <v>3</v>
      </c>
      <c r="D39" s="13">
        <f>+COUNTIFS(BDD_SUIVI_CHANTIERS[code_insee],PRIORISATION!A39,BDD_SUIVI_CHANTIERS[type],"Dalle cabane à cartons")</f>
        <v>0</v>
      </c>
      <c r="E39" s="13">
        <f>+COUNTIFS(BDD_SUIVI_CHANTIERS[code_insee],PRIORISATION!A39,BDD_SUIVI_CHANTIERS[type],"DALLE PDR")</f>
        <v>2</v>
      </c>
      <c r="F39" s="13">
        <f>+COUNTIFS(BDD_SUIVI_CHANTIERS[code_insee],PRIORISATION!A39,BDD_SUIVI_CHANTIERS[type],"Dalle borne à verre")</f>
        <v>0</v>
      </c>
      <c r="G39" s="113" t="str">
        <f t="shared" si="0"/>
        <v>P4 - Basse</v>
      </c>
      <c r="H39" s="113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27</v>
      </c>
      <c r="L39" s="74">
        <v>0</v>
      </c>
      <c r="M39" s="74">
        <v>0</v>
      </c>
    </row>
    <row r="40" spans="1:13" x14ac:dyDescent="0.25">
      <c r="A40" s="71">
        <v>14110</v>
      </c>
      <c r="B40" s="71" t="s">
        <v>102</v>
      </c>
      <c r="C40" s="13">
        <v>3</v>
      </c>
      <c r="D40" s="13">
        <f>+COUNTIFS(BDD_SUIVI_CHANTIERS[code_insee],PRIORISATION!A40,BDD_SUIVI_CHANTIERS[type],"Dalle cabane à cartons")</f>
        <v>0</v>
      </c>
      <c r="E40" s="13">
        <f>+COUNTIFS(BDD_SUIVI_CHANTIERS[code_insee],PRIORISATION!A40,BDD_SUIVI_CHANTIERS[type],"DALLE PDR")</f>
        <v>3</v>
      </c>
      <c r="F40" s="13">
        <f>+COUNTIFS(BDD_SUIVI_CHANTIERS[code_insee],PRIORISATION!A40,BDD_SUIVI_CHANTIERS[type],"Dalle borne à verre")</f>
        <v>1</v>
      </c>
      <c r="G40" s="113" t="str">
        <f t="shared" si="0"/>
        <v>P4 - Basse</v>
      </c>
      <c r="H40" s="113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20</v>
      </c>
      <c r="L40" s="74">
        <v>1</v>
      </c>
      <c r="M40" s="74">
        <v>10</v>
      </c>
    </row>
    <row r="41" spans="1:13" x14ac:dyDescent="0.25">
      <c r="A41" s="71">
        <v>14524</v>
      </c>
      <c r="B41" s="71" t="s">
        <v>103</v>
      </c>
      <c r="C41" s="13">
        <v>3</v>
      </c>
      <c r="D41" s="13">
        <f>+COUNTIFS(BDD_SUIVI_CHANTIERS[code_insee],PRIORISATION!A41,BDD_SUIVI_CHANTIERS[type],"Dalle cabane à cartons")</f>
        <v>1</v>
      </c>
      <c r="E41" s="13">
        <f>+COUNTIFS(BDD_SUIVI_CHANTIERS[code_insee],PRIORISATION!A41,BDD_SUIVI_CHANTIERS[type],"DALLE PDR")</f>
        <v>0</v>
      </c>
      <c r="F41" s="13">
        <f>+COUNTIFS(BDD_SUIVI_CHANTIERS[code_insee],PRIORISATION!A41,BDD_SUIVI_CHANTIERS[type],"Dalle borne à verre")</f>
        <v>0</v>
      </c>
      <c r="G41" s="113" t="str">
        <f t="shared" si="0"/>
        <v>P4 - Basse</v>
      </c>
      <c r="H41" s="113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25</v>
      </c>
      <c r="L41" s="74">
        <v>3</v>
      </c>
      <c r="M41" s="74">
        <v>15</v>
      </c>
    </row>
    <row r="42" spans="1:13" x14ac:dyDescent="0.25">
      <c r="A42" s="71">
        <v>14598</v>
      </c>
      <c r="B42" s="71" t="s">
        <v>104</v>
      </c>
      <c r="C42" s="13">
        <v>3</v>
      </c>
      <c r="D42" s="13">
        <f>+COUNTIFS(BDD_SUIVI_CHANTIERS[code_insee],PRIORISATION!A42,BDD_SUIVI_CHANTIERS[type],"Dalle cabane à cartons")</f>
        <v>1</v>
      </c>
      <c r="E42" s="13">
        <f>+COUNTIFS(BDD_SUIVI_CHANTIERS[code_insee],PRIORISATION!A42,BDD_SUIVI_CHANTIERS[type],"DALLE PDR")</f>
        <v>3</v>
      </c>
      <c r="F42" s="13">
        <f>+COUNTIFS(BDD_SUIVI_CHANTIERS[code_insee],PRIORISATION!A42,BDD_SUIVI_CHANTIERS[type],"Dalle borne à verre")</f>
        <v>0</v>
      </c>
      <c r="G42" s="113" t="str">
        <f t="shared" si="0"/>
        <v>P2 - Haute</v>
      </c>
      <c r="H42" s="113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13</v>
      </c>
      <c r="L42" s="74">
        <v>6</v>
      </c>
      <c r="M42" s="74">
        <v>20</v>
      </c>
    </row>
    <row r="43" spans="1:13" x14ac:dyDescent="0.25">
      <c r="A43" s="71">
        <v>14009</v>
      </c>
      <c r="B43" s="71" t="s">
        <v>105</v>
      </c>
      <c r="C43" s="13">
        <v>4</v>
      </c>
      <c r="D43" s="13">
        <f>+COUNTIFS(BDD_SUIVI_CHANTIERS[code_insee],PRIORISATION!A43,BDD_SUIVI_CHANTIERS[type],"Dalle cabane à cartons")</f>
        <v>1</v>
      </c>
      <c r="E43" s="13">
        <f>+COUNTIFS(BDD_SUIVI_CHANTIERS[code_insee],PRIORISATION!A43,BDD_SUIVI_CHANTIERS[type],"DALLE PDR")</f>
        <v>2</v>
      </c>
      <c r="F43" s="13">
        <f>+COUNTIFS(BDD_SUIVI_CHANTIERS[code_insee],PRIORISATION!A43,BDD_SUIVI_CHANTIERS[type],"Dalle borne à verre")</f>
        <v>2</v>
      </c>
      <c r="G43" s="113" t="str">
        <f t="shared" si="0"/>
        <v>P3 - Moyenne</v>
      </c>
      <c r="H43" s="113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17</v>
      </c>
      <c r="L43" s="74">
        <v>10</v>
      </c>
      <c r="M43" s="74">
        <v>25</v>
      </c>
    </row>
    <row r="44" spans="1:13" x14ac:dyDescent="0.25">
      <c r="A44" s="71">
        <v>14024</v>
      </c>
      <c r="B44" s="71" t="s">
        <v>106</v>
      </c>
      <c r="C44" s="13">
        <v>4</v>
      </c>
      <c r="D44" s="13">
        <f>+COUNTIFS(BDD_SUIVI_CHANTIERS[code_insee],PRIORISATION!A44,BDD_SUIVI_CHANTIERS[type],"Dalle cabane à cartons")</f>
        <v>0</v>
      </c>
      <c r="E44" s="13">
        <f>+COUNTIFS(BDD_SUIVI_CHANTIERS[code_insee],PRIORISATION!A44,BDD_SUIVI_CHANTIERS[type],"DALLE PDR")</f>
        <v>3</v>
      </c>
      <c r="F44" s="13">
        <f>+COUNTIFS(BDD_SUIVI_CHANTIERS[code_insee],PRIORISATION!A44,BDD_SUIVI_CHANTIERS[type],"Dalle borne à verre")</f>
        <v>1</v>
      </c>
      <c r="G44" s="113" t="str">
        <f t="shared" si="0"/>
        <v>P4 - Basse</v>
      </c>
      <c r="H44" s="113" cm="1">
        <f t="array" ref="H44">INDEX($M$24:$M$27,$C44)+IFERROR(VLOOKUP(N($D44),$L$54:$M$57,2,TRUE),0)+IFERROR(VLOOKUP(N($E44),$L$39:$M$43,2,TRUE),0)+IFERROR(VLOOKUP(N($F44),$L$47:$M$50,2,TRUE),0)</f>
        <v>19</v>
      </c>
      <c r="I44" s="13">
        <f t="shared" si="1"/>
        <v>28</v>
      </c>
    </row>
    <row r="45" spans="1:13" x14ac:dyDescent="0.25">
      <c r="A45" s="71">
        <v>14046</v>
      </c>
      <c r="B45" s="71" t="s">
        <v>107</v>
      </c>
      <c r="C45" s="13">
        <v>4</v>
      </c>
      <c r="D45" s="13">
        <f>+COUNTIFS(BDD_SUIVI_CHANTIERS[code_insee],PRIORISATION!A45,BDD_SUIVI_CHANTIERS[type],"Dalle cabane à cartons")</f>
        <v>0</v>
      </c>
      <c r="E45" s="13">
        <f>+COUNTIFS(BDD_SUIVI_CHANTIERS[code_insee],PRIORISATION!A45,BDD_SUIVI_CHANTIERS[type],"DALLE PDR")</f>
        <v>6</v>
      </c>
      <c r="F45" s="13">
        <f>+COUNTIFS(BDD_SUIVI_CHANTIERS[code_insee],PRIORISATION!A45,BDD_SUIVI_CHANTIERS[type],"Dalle borne à verre")</f>
        <v>2</v>
      </c>
      <c r="G45" s="113" t="str">
        <f t="shared" si="0"/>
        <v>P4 - Basse</v>
      </c>
      <c r="H45" s="113" cm="1">
        <f t="array" ref="H45">INDEX($M$24:$M$27,$C45)+IFERROR(VLOOKUP(N($D45),$L$54:$M$57,2,TRUE),0)+IFERROR(VLOOKUP(N($E45),$L$39:$M$43,2,TRUE),0)+IFERROR(VLOOKUP(N($F45),$L$47:$M$50,2,TRUE),0)</f>
        <v>28</v>
      </c>
      <c r="I45" s="13">
        <f>+RANK(H45,$H$24:$H$61,0)</f>
        <v>23</v>
      </c>
      <c r="L45" s="78" t="s">
        <v>470</v>
      </c>
    </row>
    <row r="46" spans="1:13" x14ac:dyDescent="0.25">
      <c r="A46" s="70">
        <v>14106</v>
      </c>
      <c r="B46" s="70" t="s">
        <v>108</v>
      </c>
      <c r="C46" s="13">
        <v>4</v>
      </c>
      <c r="D46" s="13">
        <f>+COUNTIFS(BDD_SUIVI_CHANTIERS[code_insee],PRIORISATION!A46,BDD_SUIVI_CHANTIERS[type],"Dalle cabane à cartons")</f>
        <v>0</v>
      </c>
      <c r="E46" s="13">
        <f>+COUNTIFS(BDD_SUIVI_CHANTIERS[code_insee],PRIORISATION!A46,BDD_SUIVI_CHANTIERS[type],"DALLE PDR")</f>
        <v>1</v>
      </c>
      <c r="F46" s="13">
        <f>+COUNTIFS(BDD_SUIVI_CHANTIERS[code_insee],PRIORISATION!A46,BDD_SUIVI_CHANTIERS[type],"Dalle borne à verre")</f>
        <v>1</v>
      </c>
      <c r="G46" s="113" t="str">
        <f t="shared" si="0"/>
        <v>P4 - Basse</v>
      </c>
      <c r="H46" s="113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30</v>
      </c>
      <c r="L46" s="75" t="s">
        <v>471</v>
      </c>
      <c r="M46" s="75" t="s">
        <v>468</v>
      </c>
    </row>
    <row r="47" spans="1:13" x14ac:dyDescent="0.25">
      <c r="A47" s="71">
        <v>14117</v>
      </c>
      <c r="B47" s="71" t="s">
        <v>109</v>
      </c>
      <c r="C47" s="13">
        <v>4</v>
      </c>
      <c r="D47" s="13">
        <f>+COUNTIFS(BDD_SUIVI_CHANTIERS[code_insee],PRIORISATION!A47,BDD_SUIVI_CHANTIERS[type],"Dalle cabane à cartons")</f>
        <v>2</v>
      </c>
      <c r="E47" s="13">
        <f>+COUNTIFS(BDD_SUIVI_CHANTIERS[code_insee],PRIORISATION!A47,BDD_SUIVI_CHANTIERS[type],"DALLE PDR")</f>
        <v>3</v>
      </c>
      <c r="F47" s="13">
        <f>+COUNTIFS(BDD_SUIVI_CHANTIERS[code_insee],PRIORISATION!A47,BDD_SUIVI_CHANTIERS[type],"Dalle borne à verre")</f>
        <v>3</v>
      </c>
      <c r="G47" s="113" t="str">
        <f t="shared" si="0"/>
        <v>P2 - Haute</v>
      </c>
      <c r="H47" s="113" cm="1">
        <f t="array" ref="H47">INDEX($M$24:$M$27,$C47)+IFERROR(VLOOKUP(N($D47),$L$54:$M$57,2,TRUE),0)+IFERROR(VLOOKUP(N($E47),$L$39:$M$43,2,TRUE),0)+IFERROR(VLOOKUP(N($F47),$L$47:$M$50,2,TRUE),0)</f>
        <v>47</v>
      </c>
      <c r="I47" s="13">
        <f t="shared" si="1"/>
        <v>8</v>
      </c>
      <c r="L47" s="74">
        <v>0</v>
      </c>
      <c r="M47" s="74">
        <v>0</v>
      </c>
    </row>
    <row r="48" spans="1:13" ht="18" customHeight="1" x14ac:dyDescent="0.25">
      <c r="A48" s="70">
        <v>14225</v>
      </c>
      <c r="B48" s="70" t="s">
        <v>110</v>
      </c>
      <c r="C48" s="13">
        <v>4</v>
      </c>
      <c r="D48" s="13">
        <f>+COUNTIFS(BDD_SUIVI_CHANTIERS[code_insee],PRIORISATION!A48,BDD_SUIVI_CHANTIERS[type],"Dalle cabane à cartons")</f>
        <v>0</v>
      </c>
      <c r="E48" s="13">
        <f>+COUNTIFS(BDD_SUIVI_CHANTIERS[code_insee],PRIORISATION!A48,BDD_SUIVI_CHANTIERS[type],"DALLE PDR")</f>
        <v>3</v>
      </c>
      <c r="F48" s="13">
        <f>+COUNTIFS(BDD_SUIVI_CHANTIERS[code_insee],PRIORISATION!A48,BDD_SUIVI_CHANTIERS[type],"Dalle borne à verre")</f>
        <v>4</v>
      </c>
      <c r="G48" s="113" t="str">
        <f t="shared" si="0"/>
        <v>P4 - Basse</v>
      </c>
      <c r="H48" s="113" cm="1">
        <f t="array" ref="H48">INDEX($M$24:$M$27,$C48)+IFERROR(VLOOKUP(N($D48),$L$54:$M$57,2,TRUE),0)+IFERROR(VLOOKUP(N($E48),$L$39:$M$43,2,TRUE),0)+IFERROR(VLOOKUP(N($F48),$L$47:$M$50,2,TRUE),0)</f>
        <v>27</v>
      </c>
      <c r="I48" s="13">
        <f t="shared" si="1"/>
        <v>24</v>
      </c>
      <c r="L48" s="74">
        <v>1</v>
      </c>
      <c r="M48" s="74">
        <v>4</v>
      </c>
    </row>
    <row r="49" spans="1:13" x14ac:dyDescent="0.25">
      <c r="A49" s="71">
        <v>14246</v>
      </c>
      <c r="B49" s="71" t="s">
        <v>129</v>
      </c>
      <c r="C49" s="13">
        <v>4</v>
      </c>
      <c r="D49" s="13">
        <f>+COUNTIFS(BDD_SUIVI_CHANTIERS[code_insee],PRIORISATION!A49,BDD_SUIVI_CHANTIERS[type],"Dalle cabane à cartons")</f>
        <v>1</v>
      </c>
      <c r="E49" s="13">
        <f>+COUNTIFS(BDD_SUIVI_CHANTIERS[code_insee],PRIORISATION!A49,BDD_SUIVI_CHANTIERS[type],"DALLE PDR")</f>
        <v>0</v>
      </c>
      <c r="F49" s="13">
        <f>+COUNTIFS(BDD_SUIVI_CHANTIERS[code_insee],PRIORISATION!A49,BDD_SUIVI_CHANTIERS[type],"Dalle borne à verre")</f>
        <v>0</v>
      </c>
      <c r="G49" s="113" t="str">
        <f t="shared" si="0"/>
        <v>P4 - Basse</v>
      </c>
      <c r="H49" s="113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29</v>
      </c>
      <c r="L49" s="74">
        <v>2</v>
      </c>
      <c r="M49" s="74">
        <v>8</v>
      </c>
    </row>
    <row r="50" spans="1:13" x14ac:dyDescent="0.25">
      <c r="A50" s="70">
        <v>14328</v>
      </c>
      <c r="B50" s="70" t="s">
        <v>130</v>
      </c>
      <c r="C50" s="13">
        <v>4</v>
      </c>
      <c r="D50" s="13">
        <f>+COUNTIFS(BDD_SUIVI_CHANTIERS[code_insee],PRIORISATION!A50,BDD_SUIVI_CHANTIERS[type],"Dalle cabane à cartons")</f>
        <v>0</v>
      </c>
      <c r="E50" s="13">
        <f>+COUNTIFS(BDD_SUIVI_CHANTIERS[code_insee],PRIORISATION!A50,BDD_SUIVI_CHANTIERS[type],"DALLE PDR")</f>
        <v>0</v>
      </c>
      <c r="F50" s="13">
        <f>+COUNTIFS(BDD_SUIVI_CHANTIERS[code_insee],PRIORISATION!A50,BDD_SUIVI_CHANTIERS[type],"Dalle borne à verre")</f>
        <v>0</v>
      </c>
      <c r="G50" s="113" t="str">
        <f t="shared" si="0"/>
        <v>P4 - Basse</v>
      </c>
      <c r="H50" s="113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35</v>
      </c>
      <c r="L50" s="74">
        <v>3</v>
      </c>
      <c r="M50" s="74">
        <v>12</v>
      </c>
    </row>
    <row r="51" spans="1:13" x14ac:dyDescent="0.25">
      <c r="A51" s="71">
        <v>14329</v>
      </c>
      <c r="B51" s="71" t="s">
        <v>111</v>
      </c>
      <c r="C51" s="13">
        <v>4</v>
      </c>
      <c r="D51" s="13">
        <f>+COUNTIFS(BDD_SUIVI_CHANTIERS[code_insee],PRIORISATION!A51,BDD_SUIVI_CHANTIERS[type],"Dalle cabane à cartons")</f>
        <v>0</v>
      </c>
      <c r="E51" s="13">
        <f>+COUNTIFS(BDD_SUIVI_CHANTIERS[code_insee],PRIORISATION!A51,BDD_SUIVI_CHANTIERS[type],"DALLE PDR")</f>
        <v>1</v>
      </c>
      <c r="F51" s="13">
        <f>+COUNTIFS(BDD_SUIVI_CHANTIERS[code_insee],PRIORISATION!A51,BDD_SUIVI_CHANTIERS[type],"Dalle borne à verre")</f>
        <v>0</v>
      </c>
      <c r="G51" s="113" t="str">
        <f t="shared" si="0"/>
        <v>P4 - Basse</v>
      </c>
      <c r="H51" s="113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70">
        <v>14338</v>
      </c>
      <c r="B52" s="70" t="s">
        <v>112</v>
      </c>
      <c r="C52" s="13">
        <v>4</v>
      </c>
      <c r="D52" s="13">
        <f>+COUNTIFS(BDD_SUIVI_CHANTIERS[code_insee],PRIORISATION!A52,BDD_SUIVI_CHANTIERS[type],"Dalle cabane à cartons")</f>
        <v>1</v>
      </c>
      <c r="E52" s="13">
        <f>+COUNTIFS(BDD_SUIVI_CHANTIERS[code_insee],PRIORISATION!A52,BDD_SUIVI_CHANTIERS[type],"DALLE PDR")</f>
        <v>6</v>
      </c>
      <c r="F52" s="13">
        <f>+COUNTIFS(BDD_SUIVI_CHANTIERS[code_insee],PRIORISATION!A52,BDD_SUIVI_CHANTIERS[type],"Dalle borne à verre")</f>
        <v>1</v>
      </c>
      <c r="G52" s="113" t="str">
        <f t="shared" si="0"/>
        <v>P3 - Moyenne</v>
      </c>
      <c r="H52" s="113" cm="1">
        <f t="array" ref="H52">INDEX($M$24:$M$27,$C52)+IFERROR(VLOOKUP(N($D52),$L$54:$M$57,2,TRUE),0)+IFERROR(VLOOKUP(N($E52),$L$39:$M$43,2,TRUE),0)+IFERROR(VLOOKUP(N($F52),$L$47:$M$50,2,TRUE),0)</f>
        <v>39</v>
      </c>
      <c r="I52" s="13">
        <f t="shared" si="1"/>
        <v>14</v>
      </c>
      <c r="L52" s="78" t="s">
        <v>473</v>
      </c>
    </row>
    <row r="53" spans="1:13" x14ac:dyDescent="0.25">
      <c r="A53" s="70">
        <v>14409</v>
      </c>
      <c r="B53" s="70" t="s">
        <v>113</v>
      </c>
      <c r="C53" s="13">
        <v>4</v>
      </c>
      <c r="D53" s="13">
        <f>+COUNTIFS(BDD_SUIVI_CHANTIERS[code_insee],PRIORISATION!A53,BDD_SUIVI_CHANTIERS[type],"Dalle cabane à cartons")</f>
        <v>1</v>
      </c>
      <c r="E53" s="13">
        <f>+COUNTIFS(BDD_SUIVI_CHANTIERS[code_insee],PRIORISATION!A53,BDD_SUIVI_CHANTIERS[type],"DALLE PDR")</f>
        <v>3</v>
      </c>
      <c r="F53" s="13">
        <f>+COUNTIFS(BDD_SUIVI_CHANTIERS[code_insee],PRIORISATION!A53,BDD_SUIVI_CHANTIERS[type],"Dalle borne à verre")</f>
        <v>3</v>
      </c>
      <c r="G53" s="113" t="str">
        <f t="shared" si="0"/>
        <v>P2 - Haute</v>
      </c>
      <c r="H53" s="113" cm="1">
        <f t="array" ref="H53">INDEX($M$24:$M$27,$C53)+IFERROR(VLOOKUP(N($D53),$L$54:$M$57,2,TRUE),0)+IFERROR(VLOOKUP(N($E53),$L$39:$M$43,2,TRUE),0)+IFERROR(VLOOKUP(N($F53),$L$47:$M$50,2,TRUE),0)</f>
        <v>42</v>
      </c>
      <c r="I53" s="13">
        <f t="shared" si="1"/>
        <v>12</v>
      </c>
      <c r="L53" s="75" t="s">
        <v>474</v>
      </c>
      <c r="M53" s="75" t="s">
        <v>468</v>
      </c>
    </row>
    <row r="54" spans="1:13" x14ac:dyDescent="0.25">
      <c r="A54" s="71">
        <v>14494</v>
      </c>
      <c r="B54" s="71" t="s">
        <v>132</v>
      </c>
      <c r="C54" s="13">
        <v>4</v>
      </c>
      <c r="D54" s="13">
        <f>+COUNTIFS(BDD_SUIVI_CHANTIERS[code_insee],PRIORISATION!A54,BDD_SUIVI_CHANTIERS[type],"Dalle cabane à cartons")</f>
        <v>0</v>
      </c>
      <c r="E54" s="13">
        <f>+COUNTIFS(BDD_SUIVI_CHANTIERS[code_insee],PRIORISATION!A54,BDD_SUIVI_CHANTIERS[type],"DALLE PDR")</f>
        <v>0</v>
      </c>
      <c r="F54" s="13">
        <f>+COUNTIFS(BDD_SUIVI_CHANTIERS[code_insee],PRIORISATION!A54,BDD_SUIVI_CHANTIERS[type],"Dalle borne à verre")</f>
        <v>0</v>
      </c>
      <c r="G54" s="113" t="str">
        <f t="shared" si="0"/>
        <v>P4 - Basse</v>
      </c>
      <c r="H54" s="113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35</v>
      </c>
      <c r="L54" s="74">
        <v>0</v>
      </c>
      <c r="M54" s="74">
        <v>0</v>
      </c>
    </row>
    <row r="55" spans="1:13" x14ac:dyDescent="0.25">
      <c r="A55" s="70">
        <v>14499</v>
      </c>
      <c r="B55" s="70" t="s">
        <v>133</v>
      </c>
      <c r="C55" s="13">
        <v>4</v>
      </c>
      <c r="D55" s="13">
        <f>+COUNTIFS(BDD_SUIVI_CHANTIERS[code_insee],PRIORISATION!A55,BDD_SUIVI_CHANTIERS[type],"Dalle cabane à cartons")</f>
        <v>0</v>
      </c>
      <c r="E55" s="13">
        <f>+COUNTIFS(BDD_SUIVI_CHANTIERS[code_insee],PRIORISATION!A55,BDD_SUIVI_CHANTIERS[type],"DALLE PDR")</f>
        <v>0</v>
      </c>
      <c r="F55" s="13">
        <f>+COUNTIFS(BDD_SUIVI_CHANTIERS[code_insee],PRIORISATION!A55,BDD_SUIVI_CHANTIERS[type],"Dalle borne à verre")</f>
        <v>0</v>
      </c>
      <c r="G55" s="113" t="str">
        <f t="shared" si="0"/>
        <v>P4 - Basse</v>
      </c>
      <c r="H55" s="113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35</v>
      </c>
      <c r="L55" s="74">
        <v>1</v>
      </c>
      <c r="M55" s="74">
        <v>15</v>
      </c>
    </row>
    <row r="56" spans="1:13" x14ac:dyDescent="0.25">
      <c r="A56" s="71">
        <v>14530</v>
      </c>
      <c r="B56" s="71" t="s">
        <v>114</v>
      </c>
      <c r="C56" s="13">
        <v>4</v>
      </c>
      <c r="D56" s="13">
        <f>+COUNTIFS(BDD_SUIVI_CHANTIERS[code_insee],PRIORISATION!A56,BDD_SUIVI_CHANTIERS[type],"Dalle cabane à cartons")</f>
        <v>1</v>
      </c>
      <c r="E56" s="13">
        <f>+COUNTIFS(BDD_SUIVI_CHANTIERS[code_insee],PRIORISATION!A56,BDD_SUIVI_CHANTIERS[type],"DALLE PDR")</f>
        <v>1</v>
      </c>
      <c r="F56" s="13">
        <f>+COUNTIFS(BDD_SUIVI_CHANTIERS[code_insee],PRIORISATION!A56,BDD_SUIVI_CHANTIERS[type],"Dalle borne à verre")</f>
        <v>1</v>
      </c>
      <c r="G56" s="113" t="str">
        <f t="shared" si="0"/>
        <v>P4 - Basse</v>
      </c>
      <c r="H56" s="113" cm="1">
        <f t="array" ref="H56">INDEX($M$24:$M$27,$C56)+IFERROR(VLOOKUP(N($D56),$L$54:$M$57,2,TRUE),0)+IFERROR(VLOOKUP(N($E56),$L$39:$M$43,2,TRUE),0)+IFERROR(VLOOKUP(N($F56),$L$47:$M$50,2,TRUE),0)</f>
        <v>29</v>
      </c>
      <c r="I56" s="13">
        <f t="shared" si="1"/>
        <v>20</v>
      </c>
      <c r="L56" s="74">
        <v>2</v>
      </c>
      <c r="M56" s="74">
        <v>20</v>
      </c>
    </row>
    <row r="57" spans="1:13" x14ac:dyDescent="0.25">
      <c r="A57" s="70">
        <v>14606</v>
      </c>
      <c r="B57" s="70" t="s">
        <v>115</v>
      </c>
      <c r="C57" s="13">
        <v>4</v>
      </c>
      <c r="D57" s="13">
        <f>+COUNTIFS(BDD_SUIVI_CHANTIERS[code_insee],PRIORISATION!A57,BDD_SUIVI_CHANTIERS[type],"Dalle cabane à cartons")</f>
        <v>0</v>
      </c>
      <c r="E57" s="13">
        <f>+COUNTIFS(BDD_SUIVI_CHANTIERS[code_insee],PRIORISATION!A57,BDD_SUIVI_CHANTIERS[type],"DALLE PDR")</f>
        <v>2</v>
      </c>
      <c r="F57" s="13">
        <f>+COUNTIFS(BDD_SUIVI_CHANTIERS[code_insee],PRIORISATION!A57,BDD_SUIVI_CHANTIERS[type],"Dalle borne à verre")</f>
        <v>0</v>
      </c>
      <c r="G57" s="113" t="str">
        <f t="shared" si="0"/>
        <v>P4 - Basse</v>
      </c>
      <c r="H57" s="113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74">
        <v>3</v>
      </c>
      <c r="M57" s="74">
        <v>25</v>
      </c>
    </row>
    <row r="58" spans="1:13" x14ac:dyDescent="0.25">
      <c r="A58" s="71">
        <v>14657</v>
      </c>
      <c r="B58" s="71" t="s">
        <v>134</v>
      </c>
      <c r="C58" s="13">
        <v>4</v>
      </c>
      <c r="D58" s="13">
        <f>+COUNTIFS(BDD_SUIVI_CHANTIERS[code_insee],PRIORISATION!A58,BDD_SUIVI_CHANTIERS[type],"Dalle cabane à cartons")</f>
        <v>0</v>
      </c>
      <c r="E58" s="13">
        <f>+COUNTIFS(BDD_SUIVI_CHANTIERS[code_insee],PRIORISATION!A58,BDD_SUIVI_CHANTIERS[type],"DALLE PDR")</f>
        <v>1</v>
      </c>
      <c r="F58" s="13">
        <f>+COUNTIFS(BDD_SUIVI_CHANTIERS[code_insee],PRIORISATION!A58,BDD_SUIVI_CHANTIERS[type],"Dalle borne à verre")</f>
        <v>0</v>
      </c>
      <c r="G58" s="113" t="str">
        <f t="shared" si="0"/>
        <v>P4 - Basse</v>
      </c>
      <c r="H58" s="113" cm="1">
        <f t="array" ref="H58">INDEX($M$24:$M$27,$C58)+IFERROR(VLOOKUP(N($D58),$L$54:$M$57,2,TRUE),0)+IFERROR(VLOOKUP(N($E58),$L$39:$M$43,2,TRUE),0)+IFERROR(VLOOKUP(N($F58),$L$47:$M$50,2,TRUE),0)</f>
        <v>10</v>
      </c>
      <c r="I58" s="13">
        <f t="shared" si="1"/>
        <v>31</v>
      </c>
    </row>
    <row r="59" spans="1:13" x14ac:dyDescent="0.25">
      <c r="A59" s="70">
        <v>14660</v>
      </c>
      <c r="B59" s="70" t="s">
        <v>116</v>
      </c>
      <c r="C59" s="13">
        <v>4</v>
      </c>
      <c r="D59" s="13">
        <f>+COUNTIFS(BDD_SUIVI_CHANTIERS[code_insee],PRIORISATION!A59,BDD_SUIVI_CHANTIERS[type],"Dalle cabane à cartons")</f>
        <v>0</v>
      </c>
      <c r="E59" s="13">
        <f>+COUNTIFS(BDD_SUIVI_CHANTIERS[code_insee],PRIORISATION!A59,BDD_SUIVI_CHANTIERS[type],"DALLE PDR")</f>
        <v>0</v>
      </c>
      <c r="F59" s="13">
        <f>+COUNTIFS(BDD_SUIVI_CHANTIERS[code_insee],PRIORISATION!A59,BDD_SUIVI_CHANTIERS[type],"Dalle borne à verre")</f>
        <v>1</v>
      </c>
      <c r="G59" s="113" t="str">
        <f t="shared" si="0"/>
        <v>P4 - Basse</v>
      </c>
      <c r="H59" s="113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34</v>
      </c>
    </row>
    <row r="60" spans="1:13" x14ac:dyDescent="0.25">
      <c r="A60" s="70">
        <v>14698</v>
      </c>
      <c r="B60" s="70" t="s">
        <v>135</v>
      </c>
      <c r="C60" s="13">
        <v>4</v>
      </c>
      <c r="D60" s="13">
        <f>+COUNTIFS(BDD_SUIVI_CHANTIERS[code_insee],PRIORISATION!A60,BDD_SUIVI_CHANTIERS[type],"Dalle cabane à cartons")</f>
        <v>0</v>
      </c>
      <c r="E60" s="13">
        <f>+COUNTIFS(BDD_SUIVI_CHANTIERS[code_insee],PRIORISATION!A60,BDD_SUIVI_CHANTIERS[type],"DALLE PDR")</f>
        <v>0</v>
      </c>
      <c r="F60" s="13">
        <f>+COUNTIFS(BDD_SUIVI_CHANTIERS[code_insee],PRIORISATION!A60,BDD_SUIVI_CHANTIERS[type],"Dalle borne à verre")</f>
        <v>0</v>
      </c>
      <c r="G60" s="113" t="str">
        <f t="shared" si="0"/>
        <v>P4 - Basse</v>
      </c>
      <c r="H60" s="113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35</v>
      </c>
    </row>
    <row r="61" spans="1:13" x14ac:dyDescent="0.25">
      <c r="A61" s="71">
        <v>14724</v>
      </c>
      <c r="B61" s="71" t="s">
        <v>117</v>
      </c>
      <c r="C61" s="13">
        <v>3</v>
      </c>
      <c r="D61" s="13">
        <f>+COUNTIFS(BDD_SUIVI_CHANTIERS[code_insee],PRIORISATION!A61,BDD_SUIVI_CHANTIERS[type],"Dalle cabane à cartons")</f>
        <v>0</v>
      </c>
      <c r="E61" s="13">
        <f>+COUNTIFS(BDD_SUIVI_CHANTIERS[code_insee],PRIORISATION!A61,BDD_SUIVI_CHANTIERS[type],"DALLE PDR")</f>
        <v>5</v>
      </c>
      <c r="F61" s="13">
        <f>+COUNTIFS(BDD_SUIVI_CHANTIERS[code_insee],PRIORISATION!A61,BDD_SUIVI_CHANTIERS[type],"Dalle borne à verre")</f>
        <v>1</v>
      </c>
      <c r="G61" s="113" t="str">
        <f t="shared" si="0"/>
        <v>P4 - Basse</v>
      </c>
      <c r="H61" s="113" cm="1">
        <f t="array" ref="H61">INDEX($M$24:$M$27,$C61)+IFERROR(VLOOKUP(N($D61),$L$54:$M$57,2,TRUE),0)+IFERROR(VLOOKUP(N($E61),$L$39:$M$43,2,TRUE),0)+IFERROR(VLOOKUP(N($F61),$L$47:$M$50,2,TRUE),0)</f>
        <v>29</v>
      </c>
      <c r="I61" s="13">
        <f t="shared" si="1"/>
        <v>20</v>
      </c>
    </row>
    <row r="65" spans="1:6" x14ac:dyDescent="0.25">
      <c r="A65" s="112" t="s">
        <v>475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Dozulé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Victot-en-Auge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Gonneville-sur-Mer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:D69">IFERROR(TRANSPOSE(_xlfn._xlws.FILTER($B$24:$B$61,$I$24:$I$61=$A69)),"")</f>
        <v>Sallenelles</v>
      </c>
      <c r="C69" s="13" t="str">
        <v>Douville-en-Auge</v>
      </c>
      <c r="D69" s="13" t="str">
        <v>Gonneville-en-Auge</v>
      </c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/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Grangues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Cabourg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Angerville</v>
      </c>
      <c r="C74" s="13" t="str">
        <v>Cricqueville-en-Auge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Rumesnil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>Merville-Franceville-Plage</v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>Saint-Jouin</v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Houlgate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Beaufour-Druval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>Cresseveuille</v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Amfreville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:C83">IFERROR(TRANSPOSE(_xlfn._xlws.FILTER($B$24:$B$61,$I$24:$I$61=$A83)),"")</f>
        <v>Hotot-en-Auge</v>
      </c>
      <c r="C83" s="13" t="str">
        <v>Goustranville</v>
      </c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/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:D85">IFERROR(TRANSPOSE(_xlfn._xlws.FILTER($B$24:$B$61,$I$24:$I$61=$A85)),"")</f>
        <v>Brucourt</v>
      </c>
      <c r="C85" s="13" t="str">
        <v>Ranville</v>
      </c>
      <c r="D85" s="13" t="str">
        <v>Varaville</v>
      </c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/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/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">IFERROR(TRANSPOSE(_xlfn._xlws.FILTER($B$24:$B$61,$I$24:$I$61=$A89)),"")</f>
        <v>Dives-sur-Mer</v>
      </c>
      <c r="C89" s="13"/>
      <c r="D89" s="13"/>
      <c r="E89" s="13"/>
      <c r="F89" s="13"/>
    </row>
    <row r="90" spans="1:6" x14ac:dyDescent="0.25">
      <c r="A90" s="13">
        <v>25</v>
      </c>
      <c r="B90" s="13" t="str" cm="1">
        <f t="array" ref="B90:C90">IFERROR(TRANSPOSE(_xlfn._xlws.FILTER($B$24:$B$61,$I$24:$I$61=$A90)),"")</f>
        <v>Basseneville</v>
      </c>
      <c r="C90" s="13" t="str">
        <v>Putot-en-Auge</v>
      </c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/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Beuvron-en-Auge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Auberville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Escoville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>Bréville-les-Monts</v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D96">IFERROR(TRANSPOSE(_xlfn._xlws.FILTER($B$24:$B$61,$I$24:$I$61=$A96)),"")</f>
        <v>Heuland</v>
      </c>
      <c r="C96" s="13" t="str">
        <v>Saint-Léger-Dubosq</v>
      </c>
      <c r="D96" s="13" t="str">
        <v>Saint-Samson</v>
      </c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/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">IFERROR(TRANSPOSE(_xlfn._xlws.FILTER($B$24:$B$61,$I$24:$I$61=$A99)),"")</f>
        <v>Saint-Vaast-en-Auge</v>
      </c>
      <c r="C99" s="13"/>
      <c r="D99" s="13"/>
      <c r="E99" s="13"/>
      <c r="F99" s="13"/>
    </row>
    <row r="100" spans="1:6" x14ac:dyDescent="0.25">
      <c r="A100" s="13">
        <v>35</v>
      </c>
      <c r="B100" s="13" t="str" cm="1">
        <f t="array" ref="B100:E100">IFERROR(TRANSPOSE(_xlfn._xlws.FILTER($B$24:$B$61,$I$24:$I$61=$A100)),"")</f>
        <v>Hérouvillette</v>
      </c>
      <c r="C100" s="13" t="str">
        <v>Périers-en-Auge</v>
      </c>
      <c r="D100" s="13" t="str">
        <v>Petiville</v>
      </c>
      <c r="E100" s="13" t="str">
        <v>Touffréville</v>
      </c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</sheetData>
  <autoFilter ref="A23:I61" xr:uid="{CA50D400-A652-4AD7-A65F-0E9FF29CE4BB}"/>
  <mergeCells count="3">
    <mergeCell ref="B65:F65"/>
    <mergeCell ref="D22:F22"/>
    <mergeCell ref="G22:I22"/>
  </mergeCells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476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477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478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9" t="s">
        <v>73</v>
      </c>
      <c r="B5" s="79" t="s">
        <v>75</v>
      </c>
      <c r="C5" s="79" t="s">
        <v>464</v>
      </c>
      <c r="D5" s="79" t="s">
        <v>479</v>
      </c>
      <c r="E5" s="79" t="s">
        <v>452</v>
      </c>
      <c r="F5" s="79" t="s">
        <v>453</v>
      </c>
      <c r="G5" s="79" t="s">
        <v>480</v>
      </c>
      <c r="H5" s="79" t="s">
        <v>481</v>
      </c>
    </row>
    <row r="6" spans="1:8" x14ac:dyDescent="0.25">
      <c r="A6" s="83" cm="1">
        <f t="array" ref="A6:A43">_xlfn.SEQUENCE(38)</f>
        <v>1</v>
      </c>
      <c r="B6" s="80" t="str" cm="1">
        <f t="array" ref="B6:B43">_xlfn.SORTBY(PRIORISATION!$B$24:$B$61,PRIORISATION!$H$24:$H$61,-1)</f>
        <v>Dozulé</v>
      </c>
      <c r="C6" s="86" cm="1">
        <f t="array" ref="C6:C43">_xlfn.SORTBY(PRIORISATION!$H$24:$H$61,PRIORISATION!$H$24:$H$61,-1)</f>
        <v>84</v>
      </c>
      <c r="D6" s="86" t="str" cm="1">
        <f t="array" ref="D6:D43">_xlfn.SORTBY(PRIORISATION!$G$24:$G$61,PRIORISATION!$H$24:$H$61,-1)</f>
        <v>P1 - Critique</v>
      </c>
      <c r="E6" s="89" cm="1">
        <f t="array" ref="E6:E43">_xlfn.SORTBY(PRIORISATION!$D$24:$D$61,PRIORISATION!$H$24:$H$61,-1)</f>
        <v>3</v>
      </c>
      <c r="F6" s="89" cm="1">
        <f t="array" ref="F6:F43">_xlfn.SORTBY(PRIORISATION!$E$24:$E$61,PRIORISATION!$H$24:$H$61,-1)</f>
        <v>13</v>
      </c>
      <c r="G6" s="89" cm="1">
        <f t="array" ref="G6:G43">_xlfn.SORTBY(PRIORISATION!$F$24:$F$61,PRIORISATION!$H$24:$H$61,-1)</f>
        <v>1</v>
      </c>
      <c r="H6" s="90">
        <f>E6+F6+G6</f>
        <v>17</v>
      </c>
    </row>
    <row r="7" spans="1:8" x14ac:dyDescent="0.25">
      <c r="A7" s="84">
        <v>2</v>
      </c>
      <c r="B7" s="81" t="str">
        <v>Victot-en-Auge</v>
      </c>
      <c r="C7" s="87">
        <v>74</v>
      </c>
      <c r="D7" s="87" t="str">
        <v>P1 - Critique</v>
      </c>
      <c r="E7" s="91">
        <v>2</v>
      </c>
      <c r="F7" s="91">
        <v>7</v>
      </c>
      <c r="G7" s="91">
        <v>1</v>
      </c>
      <c r="H7" s="92">
        <f t="shared" ref="H7:H43" si="0">E7+F7+G7</f>
        <v>10</v>
      </c>
    </row>
    <row r="8" spans="1:8" x14ac:dyDescent="0.25">
      <c r="A8" s="84">
        <v>3</v>
      </c>
      <c r="B8" s="81" t="str">
        <v>Gonneville-sur-Mer</v>
      </c>
      <c r="C8" s="87">
        <v>63</v>
      </c>
      <c r="D8" s="87" t="str">
        <v>P1 - Critique</v>
      </c>
      <c r="E8" s="91">
        <v>0</v>
      </c>
      <c r="F8" s="91">
        <v>10</v>
      </c>
      <c r="G8" s="91">
        <v>2</v>
      </c>
      <c r="H8" s="92">
        <f t="shared" si="0"/>
        <v>12</v>
      </c>
    </row>
    <row r="9" spans="1:8" x14ac:dyDescent="0.25">
      <c r="A9" s="84">
        <v>4</v>
      </c>
      <c r="B9" s="81" t="str">
        <v>Sallenelles</v>
      </c>
      <c r="C9" s="87">
        <v>54</v>
      </c>
      <c r="D9" s="87" t="str">
        <v>P2 - Haute</v>
      </c>
      <c r="E9" s="91">
        <v>1</v>
      </c>
      <c r="F9" s="91">
        <v>3</v>
      </c>
      <c r="G9" s="91">
        <v>1</v>
      </c>
      <c r="H9" s="92">
        <f t="shared" si="0"/>
        <v>5</v>
      </c>
    </row>
    <row r="10" spans="1:8" x14ac:dyDescent="0.25">
      <c r="A10" s="84">
        <v>5</v>
      </c>
      <c r="B10" s="81" t="str">
        <v>Douville-en-Auge</v>
      </c>
      <c r="C10" s="87">
        <v>54</v>
      </c>
      <c r="D10" s="87" t="str">
        <v>P2 - Haute</v>
      </c>
      <c r="E10" s="91">
        <v>1</v>
      </c>
      <c r="F10" s="91">
        <v>3</v>
      </c>
      <c r="G10" s="91">
        <v>1</v>
      </c>
      <c r="H10" s="92">
        <f t="shared" si="0"/>
        <v>5</v>
      </c>
    </row>
    <row r="11" spans="1:8" x14ac:dyDescent="0.25">
      <c r="A11" s="84">
        <v>6</v>
      </c>
      <c r="B11" s="81" t="str">
        <v>Gonneville-en-Auge</v>
      </c>
      <c r="C11" s="87">
        <v>54</v>
      </c>
      <c r="D11" s="87" t="str">
        <v>P2 - Haute</v>
      </c>
      <c r="E11" s="91">
        <v>1</v>
      </c>
      <c r="F11" s="91">
        <v>3</v>
      </c>
      <c r="G11" s="91">
        <v>1</v>
      </c>
      <c r="H11" s="92">
        <f t="shared" si="0"/>
        <v>5</v>
      </c>
    </row>
    <row r="12" spans="1:8" x14ac:dyDescent="0.25">
      <c r="A12" s="84">
        <v>7</v>
      </c>
      <c r="B12" s="81" t="str">
        <v>Grangues</v>
      </c>
      <c r="C12" s="87">
        <v>50</v>
      </c>
      <c r="D12" s="87" t="str">
        <v>P2 - Haute</v>
      </c>
      <c r="E12" s="91">
        <v>0</v>
      </c>
      <c r="F12" s="91">
        <v>7</v>
      </c>
      <c r="G12" s="91">
        <v>0</v>
      </c>
      <c r="H12" s="92">
        <f t="shared" si="0"/>
        <v>7</v>
      </c>
    </row>
    <row r="13" spans="1:8" x14ac:dyDescent="0.25">
      <c r="A13" s="84">
        <v>8</v>
      </c>
      <c r="B13" s="81" t="str">
        <v>Cabourg</v>
      </c>
      <c r="C13" s="87">
        <v>47</v>
      </c>
      <c r="D13" s="87" t="str">
        <v>P2 - Haute</v>
      </c>
      <c r="E13" s="91">
        <v>2</v>
      </c>
      <c r="F13" s="91">
        <v>3</v>
      </c>
      <c r="G13" s="91">
        <v>3</v>
      </c>
      <c r="H13" s="92">
        <f t="shared" si="0"/>
        <v>8</v>
      </c>
    </row>
    <row r="14" spans="1:8" x14ac:dyDescent="0.25">
      <c r="A14" s="84">
        <v>9</v>
      </c>
      <c r="B14" s="81" t="str">
        <v>Angerville</v>
      </c>
      <c r="C14" s="87">
        <v>45</v>
      </c>
      <c r="D14" s="87" t="str">
        <v>P2 - Haute</v>
      </c>
      <c r="E14" s="91">
        <v>0</v>
      </c>
      <c r="F14" s="91">
        <v>4</v>
      </c>
      <c r="G14" s="91">
        <v>0</v>
      </c>
      <c r="H14" s="92">
        <f t="shared" si="0"/>
        <v>4</v>
      </c>
    </row>
    <row r="15" spans="1:8" x14ac:dyDescent="0.25">
      <c r="A15" s="84">
        <v>10</v>
      </c>
      <c r="B15" s="81" t="str">
        <v>Cricqueville-en-Auge</v>
      </c>
      <c r="C15" s="87">
        <v>45</v>
      </c>
      <c r="D15" s="87" t="str">
        <v>P2 - Haute</v>
      </c>
      <c r="E15" s="91">
        <v>1</v>
      </c>
      <c r="F15" s="91">
        <v>1</v>
      </c>
      <c r="G15" s="91">
        <v>0</v>
      </c>
      <c r="H15" s="92">
        <f t="shared" si="0"/>
        <v>2</v>
      </c>
    </row>
    <row r="16" spans="1:8" x14ac:dyDescent="0.25">
      <c r="A16" s="84">
        <v>11</v>
      </c>
      <c r="B16" s="81" t="str">
        <v>Rumesnil</v>
      </c>
      <c r="C16" s="87">
        <v>44</v>
      </c>
      <c r="D16" s="87" t="str">
        <v>P2 - Haute</v>
      </c>
      <c r="E16" s="91">
        <v>0</v>
      </c>
      <c r="F16" s="91">
        <v>2</v>
      </c>
      <c r="G16" s="91">
        <v>1</v>
      </c>
      <c r="H16" s="92">
        <f t="shared" si="0"/>
        <v>3</v>
      </c>
    </row>
    <row r="17" spans="1:8" x14ac:dyDescent="0.25">
      <c r="A17" s="84">
        <v>12</v>
      </c>
      <c r="B17" s="81" t="str">
        <v>Merville-Franceville-Plage</v>
      </c>
      <c r="C17" s="87">
        <v>42</v>
      </c>
      <c r="D17" s="87" t="str">
        <v>P2 - Haute</v>
      </c>
      <c r="E17" s="91">
        <v>1</v>
      </c>
      <c r="F17" s="91">
        <v>3</v>
      </c>
      <c r="G17" s="91">
        <v>3</v>
      </c>
      <c r="H17" s="92">
        <f t="shared" si="0"/>
        <v>7</v>
      </c>
    </row>
    <row r="18" spans="1:8" x14ac:dyDescent="0.25">
      <c r="A18" s="84">
        <v>13</v>
      </c>
      <c r="B18" s="81" t="str">
        <v>Saint-Jouin</v>
      </c>
      <c r="C18" s="87">
        <v>40</v>
      </c>
      <c r="D18" s="87" t="str">
        <v>P2 - Haute</v>
      </c>
      <c r="E18" s="91">
        <v>1</v>
      </c>
      <c r="F18" s="91">
        <v>3</v>
      </c>
      <c r="G18" s="91">
        <v>0</v>
      </c>
      <c r="H18" s="92">
        <f t="shared" si="0"/>
        <v>4</v>
      </c>
    </row>
    <row r="19" spans="1:8" x14ac:dyDescent="0.25">
      <c r="A19" s="84">
        <v>14</v>
      </c>
      <c r="B19" s="81" t="str">
        <v>Houlgate</v>
      </c>
      <c r="C19" s="87">
        <v>39</v>
      </c>
      <c r="D19" s="87" t="str">
        <v>P3 - Moyenne</v>
      </c>
      <c r="E19" s="91">
        <v>1</v>
      </c>
      <c r="F19" s="91">
        <v>6</v>
      </c>
      <c r="G19" s="91">
        <v>1</v>
      </c>
      <c r="H19" s="92">
        <f t="shared" si="0"/>
        <v>8</v>
      </c>
    </row>
    <row r="20" spans="1:8" x14ac:dyDescent="0.25">
      <c r="A20" s="84">
        <v>15</v>
      </c>
      <c r="B20" s="81" t="str">
        <v>Beaufour-Druval</v>
      </c>
      <c r="C20" s="87">
        <v>35</v>
      </c>
      <c r="D20" s="87" t="str">
        <v>P3 - Moyenne</v>
      </c>
      <c r="E20" s="91">
        <v>1</v>
      </c>
      <c r="F20" s="91">
        <v>1</v>
      </c>
      <c r="G20" s="91">
        <v>0</v>
      </c>
      <c r="H20" s="92">
        <f t="shared" si="0"/>
        <v>2</v>
      </c>
    </row>
    <row r="21" spans="1:8" x14ac:dyDescent="0.25">
      <c r="A21" s="84">
        <v>16</v>
      </c>
      <c r="B21" s="81" t="str">
        <v>Cresseveuille</v>
      </c>
      <c r="C21" s="87">
        <v>34</v>
      </c>
      <c r="D21" s="87" t="str">
        <v>P3 - Moyenne</v>
      </c>
      <c r="E21" s="91">
        <v>0</v>
      </c>
      <c r="F21" s="91">
        <v>1</v>
      </c>
      <c r="G21" s="91">
        <v>1</v>
      </c>
      <c r="H21" s="92">
        <f t="shared" si="0"/>
        <v>2</v>
      </c>
    </row>
    <row r="22" spans="1:8" x14ac:dyDescent="0.25">
      <c r="A22" s="84">
        <v>17</v>
      </c>
      <c r="B22" s="81" t="str">
        <v>Amfreville</v>
      </c>
      <c r="C22" s="87">
        <v>33</v>
      </c>
      <c r="D22" s="87" t="str">
        <v>P3 - Moyenne</v>
      </c>
      <c r="E22" s="91">
        <v>1</v>
      </c>
      <c r="F22" s="91">
        <v>2</v>
      </c>
      <c r="G22" s="91">
        <v>2</v>
      </c>
      <c r="H22" s="92">
        <f t="shared" si="0"/>
        <v>5</v>
      </c>
    </row>
    <row r="23" spans="1:8" x14ac:dyDescent="0.25">
      <c r="A23" s="84">
        <v>18</v>
      </c>
      <c r="B23" s="81" t="str">
        <v>Hotot-en-Auge</v>
      </c>
      <c r="C23" s="87">
        <v>30</v>
      </c>
      <c r="D23" s="87" t="str">
        <v>P3 - Moyenne</v>
      </c>
      <c r="E23" s="91">
        <v>0</v>
      </c>
      <c r="F23" s="91">
        <v>0</v>
      </c>
      <c r="G23" s="91">
        <v>0</v>
      </c>
      <c r="H23" s="92">
        <f t="shared" si="0"/>
        <v>0</v>
      </c>
    </row>
    <row r="24" spans="1:8" x14ac:dyDescent="0.25">
      <c r="A24" s="84">
        <v>19</v>
      </c>
      <c r="B24" s="81" t="str">
        <v>Goustranville</v>
      </c>
      <c r="C24" s="87">
        <v>30</v>
      </c>
      <c r="D24" s="87" t="str">
        <v>P3 - Moyenne</v>
      </c>
      <c r="E24" s="91">
        <v>0</v>
      </c>
      <c r="F24" s="91">
        <v>1</v>
      </c>
      <c r="G24" s="91">
        <v>0</v>
      </c>
      <c r="H24" s="92">
        <f t="shared" si="0"/>
        <v>1</v>
      </c>
    </row>
    <row r="25" spans="1:8" x14ac:dyDescent="0.25">
      <c r="A25" s="84">
        <v>20</v>
      </c>
      <c r="B25" s="81" t="str">
        <v>Brucourt</v>
      </c>
      <c r="C25" s="87">
        <v>29</v>
      </c>
      <c r="D25" s="87" t="str">
        <v>P4 - Basse</v>
      </c>
      <c r="E25" s="91">
        <v>0</v>
      </c>
      <c r="F25" s="91">
        <v>3</v>
      </c>
      <c r="G25" s="91">
        <v>1</v>
      </c>
      <c r="H25" s="92">
        <f t="shared" si="0"/>
        <v>4</v>
      </c>
    </row>
    <row r="26" spans="1:8" x14ac:dyDescent="0.25">
      <c r="A26" s="84">
        <v>21</v>
      </c>
      <c r="B26" s="81" t="str">
        <v>Ranville</v>
      </c>
      <c r="C26" s="87">
        <v>29</v>
      </c>
      <c r="D26" s="87" t="str">
        <v>P4 - Basse</v>
      </c>
      <c r="E26" s="91">
        <v>1</v>
      </c>
      <c r="F26" s="91">
        <v>1</v>
      </c>
      <c r="G26" s="91">
        <v>1</v>
      </c>
      <c r="H26" s="92">
        <f t="shared" si="0"/>
        <v>3</v>
      </c>
    </row>
    <row r="27" spans="1:8" x14ac:dyDescent="0.25">
      <c r="A27" s="84">
        <v>22</v>
      </c>
      <c r="B27" s="81" t="str">
        <v>Varaville</v>
      </c>
      <c r="C27" s="87">
        <v>29</v>
      </c>
      <c r="D27" s="87" t="str">
        <v>P4 - Basse</v>
      </c>
      <c r="E27" s="91">
        <v>0</v>
      </c>
      <c r="F27" s="91">
        <v>5</v>
      </c>
      <c r="G27" s="91">
        <v>1</v>
      </c>
      <c r="H27" s="92">
        <f t="shared" si="0"/>
        <v>6</v>
      </c>
    </row>
    <row r="28" spans="1:8" x14ac:dyDescent="0.25">
      <c r="A28" s="84">
        <v>23</v>
      </c>
      <c r="B28" s="81" t="str">
        <v>Bavent</v>
      </c>
      <c r="C28" s="87">
        <v>28</v>
      </c>
      <c r="D28" s="87" t="str">
        <v>P4 - Basse</v>
      </c>
      <c r="E28" s="91">
        <v>0</v>
      </c>
      <c r="F28" s="91">
        <v>6</v>
      </c>
      <c r="G28" s="91">
        <v>2</v>
      </c>
      <c r="H28" s="92">
        <f t="shared" si="0"/>
        <v>8</v>
      </c>
    </row>
    <row r="29" spans="1:8" x14ac:dyDescent="0.25">
      <c r="A29" s="84">
        <v>24</v>
      </c>
      <c r="B29" s="81" t="str">
        <v>Dives-sur-Mer</v>
      </c>
      <c r="C29" s="87">
        <v>27</v>
      </c>
      <c r="D29" s="87" t="str">
        <v>P4 - Basse</v>
      </c>
      <c r="E29" s="91">
        <v>0</v>
      </c>
      <c r="F29" s="91">
        <v>3</v>
      </c>
      <c r="G29" s="91">
        <v>4</v>
      </c>
      <c r="H29" s="92">
        <f t="shared" si="0"/>
        <v>7</v>
      </c>
    </row>
    <row r="30" spans="1:8" x14ac:dyDescent="0.25">
      <c r="A30" s="84">
        <v>25</v>
      </c>
      <c r="B30" s="81" t="str">
        <v>Basseneville</v>
      </c>
      <c r="C30" s="87">
        <v>25</v>
      </c>
      <c r="D30" s="87" t="str">
        <v>P4 - Basse</v>
      </c>
      <c r="E30" s="91">
        <v>0</v>
      </c>
      <c r="F30" s="91">
        <v>4</v>
      </c>
      <c r="G30" s="91">
        <v>0</v>
      </c>
      <c r="H30" s="92">
        <f t="shared" si="0"/>
        <v>4</v>
      </c>
    </row>
    <row r="31" spans="1:8" x14ac:dyDescent="0.25">
      <c r="A31" s="84">
        <v>26</v>
      </c>
      <c r="B31" s="81" t="str">
        <v>Putot-en-Auge</v>
      </c>
      <c r="C31" s="87">
        <v>25</v>
      </c>
      <c r="D31" s="87" t="str">
        <v>P4 - Basse</v>
      </c>
      <c r="E31" s="91">
        <v>1</v>
      </c>
      <c r="F31" s="91">
        <v>0</v>
      </c>
      <c r="G31" s="91">
        <v>0</v>
      </c>
      <c r="H31" s="92">
        <f t="shared" si="0"/>
        <v>1</v>
      </c>
    </row>
    <row r="32" spans="1:8" x14ac:dyDescent="0.25">
      <c r="A32" s="84">
        <v>27</v>
      </c>
      <c r="B32" s="81" t="str">
        <v>Beuvron-en-Auge</v>
      </c>
      <c r="C32" s="87">
        <v>20</v>
      </c>
      <c r="D32" s="87" t="str">
        <v>P4 - Basse</v>
      </c>
      <c r="E32" s="91">
        <v>0</v>
      </c>
      <c r="F32" s="91">
        <v>2</v>
      </c>
      <c r="G32" s="91">
        <v>0</v>
      </c>
      <c r="H32" s="92">
        <f t="shared" si="0"/>
        <v>2</v>
      </c>
    </row>
    <row r="33" spans="1:8" x14ac:dyDescent="0.25">
      <c r="A33" s="84">
        <v>28</v>
      </c>
      <c r="B33" s="81" t="str">
        <v>Auberville</v>
      </c>
      <c r="C33" s="87">
        <v>19</v>
      </c>
      <c r="D33" s="87" t="str">
        <v>P4 - Basse</v>
      </c>
      <c r="E33" s="91">
        <v>0</v>
      </c>
      <c r="F33" s="91">
        <v>3</v>
      </c>
      <c r="G33" s="91">
        <v>1</v>
      </c>
      <c r="H33" s="92">
        <f t="shared" si="0"/>
        <v>4</v>
      </c>
    </row>
    <row r="34" spans="1:8" x14ac:dyDescent="0.25">
      <c r="A34" s="84">
        <v>29</v>
      </c>
      <c r="B34" s="81" t="str">
        <v>Escoville</v>
      </c>
      <c r="C34" s="87">
        <v>15</v>
      </c>
      <c r="D34" s="87" t="str">
        <v>P4 - Basse</v>
      </c>
      <c r="E34" s="91">
        <v>1</v>
      </c>
      <c r="F34" s="91">
        <v>0</v>
      </c>
      <c r="G34" s="91">
        <v>0</v>
      </c>
      <c r="H34" s="92">
        <f t="shared" si="0"/>
        <v>1</v>
      </c>
    </row>
    <row r="35" spans="1:8" x14ac:dyDescent="0.25">
      <c r="A35" s="84">
        <v>30</v>
      </c>
      <c r="B35" s="81" t="str">
        <v>Bréville-les-Monts</v>
      </c>
      <c r="C35" s="87">
        <v>14</v>
      </c>
      <c r="D35" s="87" t="str">
        <v>P4 - Basse</v>
      </c>
      <c r="E35" s="91">
        <v>0</v>
      </c>
      <c r="F35" s="91">
        <v>1</v>
      </c>
      <c r="G35" s="91">
        <v>1</v>
      </c>
      <c r="H35" s="92">
        <f t="shared" si="0"/>
        <v>2</v>
      </c>
    </row>
    <row r="36" spans="1:8" x14ac:dyDescent="0.25">
      <c r="A36" s="84">
        <v>31</v>
      </c>
      <c r="B36" s="81" t="str">
        <v>Heuland</v>
      </c>
      <c r="C36" s="87">
        <v>10</v>
      </c>
      <c r="D36" s="87" t="str">
        <v>P4 - Basse</v>
      </c>
      <c r="E36" s="91">
        <v>0</v>
      </c>
      <c r="F36" s="91">
        <v>1</v>
      </c>
      <c r="G36" s="91">
        <v>0</v>
      </c>
      <c r="H36" s="92">
        <f t="shared" si="0"/>
        <v>1</v>
      </c>
    </row>
    <row r="37" spans="1:8" x14ac:dyDescent="0.25">
      <c r="A37" s="84">
        <v>32</v>
      </c>
      <c r="B37" s="81" t="str">
        <v>Saint-Léger-Dubosq</v>
      </c>
      <c r="C37" s="87">
        <v>10</v>
      </c>
      <c r="D37" s="87" t="str">
        <v>P4 - Basse</v>
      </c>
      <c r="E37" s="91">
        <v>0</v>
      </c>
      <c r="F37" s="91">
        <v>2</v>
      </c>
      <c r="G37" s="91">
        <v>0</v>
      </c>
      <c r="H37" s="92">
        <f t="shared" si="0"/>
        <v>2</v>
      </c>
    </row>
    <row r="38" spans="1:8" x14ac:dyDescent="0.25">
      <c r="A38" s="84">
        <v>33</v>
      </c>
      <c r="B38" s="81" t="str">
        <v>Saint-Samson</v>
      </c>
      <c r="C38" s="87">
        <v>10</v>
      </c>
      <c r="D38" s="87" t="str">
        <v>P4 - Basse</v>
      </c>
      <c r="E38" s="91">
        <v>0</v>
      </c>
      <c r="F38" s="91">
        <v>1</v>
      </c>
      <c r="G38" s="91">
        <v>0</v>
      </c>
      <c r="H38" s="92">
        <f t="shared" si="0"/>
        <v>1</v>
      </c>
    </row>
    <row r="39" spans="1:8" x14ac:dyDescent="0.25">
      <c r="A39" s="84">
        <v>34</v>
      </c>
      <c r="B39" s="81" t="str">
        <v>Saint-Vaast-en-Auge</v>
      </c>
      <c r="C39" s="87">
        <v>4</v>
      </c>
      <c r="D39" s="87" t="str">
        <v>P4 - Basse</v>
      </c>
      <c r="E39" s="91">
        <v>0</v>
      </c>
      <c r="F39" s="91">
        <v>0</v>
      </c>
      <c r="G39" s="91">
        <v>1</v>
      </c>
      <c r="H39" s="92">
        <f t="shared" si="0"/>
        <v>1</v>
      </c>
    </row>
    <row r="40" spans="1:8" x14ac:dyDescent="0.25">
      <c r="A40" s="84">
        <v>35</v>
      </c>
      <c r="B40" s="81" t="str">
        <v>Hérouvillette</v>
      </c>
      <c r="C40" s="87">
        <v>0</v>
      </c>
      <c r="D40" s="87" t="str">
        <v>P4 - Basse</v>
      </c>
      <c r="E40" s="91">
        <v>0</v>
      </c>
      <c r="F40" s="91">
        <v>0</v>
      </c>
      <c r="G40" s="91">
        <v>0</v>
      </c>
      <c r="H40" s="92">
        <f t="shared" si="0"/>
        <v>0</v>
      </c>
    </row>
    <row r="41" spans="1:8" x14ac:dyDescent="0.25">
      <c r="A41" s="84">
        <v>36</v>
      </c>
      <c r="B41" s="81" t="str">
        <v>Périers-en-Auge</v>
      </c>
      <c r="C41" s="87">
        <v>0</v>
      </c>
      <c r="D41" s="87" t="str">
        <v>P4 - Basse</v>
      </c>
      <c r="E41" s="91">
        <v>0</v>
      </c>
      <c r="F41" s="91">
        <v>0</v>
      </c>
      <c r="G41" s="91">
        <v>0</v>
      </c>
      <c r="H41" s="92">
        <f t="shared" si="0"/>
        <v>0</v>
      </c>
    </row>
    <row r="42" spans="1:8" x14ac:dyDescent="0.25">
      <c r="A42" s="84">
        <v>37</v>
      </c>
      <c r="B42" s="81" t="str">
        <v>Petiville</v>
      </c>
      <c r="C42" s="87">
        <v>0</v>
      </c>
      <c r="D42" s="87" t="str">
        <v>P4 - Basse</v>
      </c>
      <c r="E42" s="91">
        <v>0</v>
      </c>
      <c r="F42" s="91">
        <v>0</v>
      </c>
      <c r="G42" s="91">
        <v>0</v>
      </c>
      <c r="H42" s="92">
        <f t="shared" si="0"/>
        <v>0</v>
      </c>
    </row>
    <row r="43" spans="1:8" x14ac:dyDescent="0.25">
      <c r="A43" s="85">
        <v>38</v>
      </c>
      <c r="B43" s="82" t="str">
        <v>Touffréville</v>
      </c>
      <c r="C43" s="88">
        <v>0</v>
      </c>
      <c r="D43" s="88" t="str">
        <v>P4 - Basse</v>
      </c>
      <c r="E43" s="93">
        <v>0</v>
      </c>
      <c r="F43" s="93">
        <v>0</v>
      </c>
      <c r="G43" s="93">
        <v>0</v>
      </c>
      <c r="H43" s="94">
        <f t="shared" si="0"/>
        <v>0</v>
      </c>
    </row>
    <row r="46" spans="1:8" ht="21.95" customHeight="1" x14ac:dyDescent="0.3">
      <c r="A46" s="124" t="s">
        <v>482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9" t="s">
        <v>483</v>
      </c>
      <c r="B47" s="110" t="s">
        <v>484</v>
      </c>
      <c r="C47" s="110" t="s">
        <v>452</v>
      </c>
      <c r="D47" s="110" t="s">
        <v>453</v>
      </c>
      <c r="E47" s="110" t="s">
        <v>480</v>
      </c>
      <c r="F47" s="111" t="s">
        <v>485</v>
      </c>
    </row>
    <row r="48" spans="1:8" x14ac:dyDescent="0.25">
      <c r="A48" s="101" t="s">
        <v>486</v>
      </c>
      <c r="B48" s="96">
        <f>COUNTIF($D$6:$D$43,$A48)</f>
        <v>3</v>
      </c>
      <c r="C48" s="96">
        <f>SUMIF($D$6:$D$43,$A48,E$6:E$43)</f>
        <v>5</v>
      </c>
      <c r="D48" s="96">
        <f>SUMIF($D$6:$D$43,$A48,F$6:F$43)</f>
        <v>30</v>
      </c>
      <c r="E48" s="96">
        <f>SUMIF($D$6:$D$43,$A48,G$6:G$43)</f>
        <v>4</v>
      </c>
      <c r="F48" s="97">
        <f>SUMIF($D$6:$D$43,$A48,H$6:H$43)</f>
        <v>39</v>
      </c>
    </row>
    <row r="49" spans="1:8" x14ac:dyDescent="0.25">
      <c r="A49" s="102" t="s">
        <v>487</v>
      </c>
      <c r="B49" s="96">
        <f t="shared" ref="B49:B51" si="1">COUNTIF($D$6:$D$43,$A49)</f>
        <v>10</v>
      </c>
      <c r="C49" s="96">
        <f t="shared" ref="C49:C51" si="2">SUMIF($D$6:$D$43,$A49,E$6:E$43)</f>
        <v>8</v>
      </c>
      <c r="D49" s="96">
        <f t="shared" ref="D49:D51" si="3">SUMIF($D$6:$D$43,$A49,F$6:F$43)</f>
        <v>32</v>
      </c>
      <c r="E49" s="96">
        <f t="shared" ref="E49:E51" si="4">SUMIF($D$6:$D$43,$A49,G$6:G$43)</f>
        <v>10</v>
      </c>
      <c r="F49" s="97">
        <f t="shared" ref="F49:F51" si="5">SUMIF($D$6:$D$43,$A49,H$6:H$43)</f>
        <v>50</v>
      </c>
    </row>
    <row r="50" spans="1:8" x14ac:dyDescent="0.25">
      <c r="A50" s="103" t="s">
        <v>488</v>
      </c>
      <c r="B50" s="96">
        <f t="shared" si="1"/>
        <v>6</v>
      </c>
      <c r="C50" s="96">
        <f t="shared" si="2"/>
        <v>3</v>
      </c>
      <c r="D50" s="96">
        <f t="shared" si="3"/>
        <v>11</v>
      </c>
      <c r="E50" s="96">
        <f t="shared" si="4"/>
        <v>4</v>
      </c>
      <c r="F50" s="97">
        <f t="shared" si="5"/>
        <v>18</v>
      </c>
    </row>
    <row r="51" spans="1:8" x14ac:dyDescent="0.25">
      <c r="A51" s="104" t="s">
        <v>489</v>
      </c>
      <c r="B51" s="96">
        <f t="shared" si="1"/>
        <v>19</v>
      </c>
      <c r="C51" s="96">
        <f t="shared" si="2"/>
        <v>3</v>
      </c>
      <c r="D51" s="96">
        <f t="shared" si="3"/>
        <v>32</v>
      </c>
      <c r="E51" s="96">
        <f t="shared" si="4"/>
        <v>12</v>
      </c>
      <c r="F51" s="97">
        <f t="shared" si="5"/>
        <v>47</v>
      </c>
    </row>
    <row r="52" spans="1:8" x14ac:dyDescent="0.25">
      <c r="A52" s="98" t="s">
        <v>124</v>
      </c>
      <c r="B52" s="99">
        <f>SUM(B48:B51)</f>
        <v>38</v>
      </c>
      <c r="C52" s="99">
        <f>SUM(C48:C51)</f>
        <v>19</v>
      </c>
      <c r="D52" s="99">
        <f>SUM(D48:D51)</f>
        <v>105</v>
      </c>
      <c r="E52" s="99">
        <f>SUM(E48:E51)</f>
        <v>30</v>
      </c>
      <c r="F52" s="100">
        <f>SUM(F48:F51)</f>
        <v>154</v>
      </c>
    </row>
    <row r="54" spans="1:8" x14ac:dyDescent="0.25">
      <c r="A54" s="95" t="s">
        <v>490</v>
      </c>
    </row>
    <row r="55" spans="1:8" ht="45.95" customHeight="1" x14ac:dyDescent="0.25">
      <c r="A55" s="105" t="s">
        <v>486</v>
      </c>
      <c r="B55" s="126" t="str" cm="1">
        <f t="array" ref="B55">_xlfn.TEXTJOIN(" / ",TRUE,_xlfn._xlws.FILTER($B$6:$B$43,$D$6:$D$43=$A55))</f>
        <v>Dozulé / Victot-en-Auge / Gonneville-sur-Mer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6" t="s">
        <v>487</v>
      </c>
      <c r="B56" s="118" t="str" cm="1">
        <f t="array" ref="B56">_xlfn.TEXTJOIN(" / ",TRUE,_xlfn._xlws.FILTER($B$6:$B$43,$D$6:$D$43=$A56))</f>
        <v>Sallenelles / Douville-en-Auge / Gonneville-en-Auge / Grangues / Cabourg / Angerville / Cricqueville-en-Auge / Rumesnil / Merville-Franceville-Plage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7" t="s">
        <v>488</v>
      </c>
      <c r="B57" s="118" t="str" cm="1">
        <f t="array" ref="B57">_xlfn.TEXTJOIN(" / ",TRUE,_xlfn._xlws.FILTER($B$6:$B$43,$D$6:$D$43=$A57))</f>
        <v>Houlgate / Beaufour-Druval / Cresseveuille / Amfreville / Hotot-en-Auge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8" t="s">
        <v>489</v>
      </c>
      <c r="B58" s="120" t="str" cm="1">
        <f t="array" ref="B58">_xlfn.TEXTJOIN(" / ",TRUE,_xlfn._xlws.FILTER($B$6:$B$43,$D$6:$D$43=$A58))</f>
        <v>Brucourt / Ranville / Varaville / Bavent / Dives-sur-Mer / Basseneville / Putot-en-Auge / Beuvron-en-Auge / Auberville / Escoville / Bréville-les-Monts / Heuland / Saint-Léger-Dubosq / Saint-Samson / Saint-Vaast-en-Auge / Hérouvillette / Périers-en-Auge / Petiville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0" t="s">
        <v>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spans="1:26" x14ac:dyDescent="0.25">
      <c r="A2" s="132" t="s">
        <v>1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</row>
    <row r="3" spans="1:26" ht="14.1" customHeight="1" x14ac:dyDescent="0.25">
      <c r="A3" s="133" t="s">
        <v>2</v>
      </c>
      <c r="B3" s="131"/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</row>
    <row r="5" spans="1:26" ht="18" customHeight="1" thickBot="1" x14ac:dyDescent="0.3">
      <c r="A5" s="134" t="s">
        <v>3</v>
      </c>
      <c r="B5" s="134" t="s">
        <v>4</v>
      </c>
      <c r="C5" s="135" t="s">
        <v>5</v>
      </c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1"/>
      <c r="O5" s="136" t="s">
        <v>6</v>
      </c>
      <c r="P5" s="131"/>
      <c r="Q5" s="131"/>
      <c r="R5" s="131"/>
      <c r="S5" s="131"/>
      <c r="T5" s="131"/>
      <c r="U5" s="131"/>
      <c r="V5" s="131"/>
      <c r="W5" s="131"/>
      <c r="X5" s="131"/>
      <c r="Y5" s="131"/>
      <c r="Z5" s="131"/>
    </row>
    <row r="6" spans="1:26" ht="15.95" customHeight="1" x14ac:dyDescent="0.25">
      <c r="A6" s="131"/>
      <c r="B6" s="131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37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29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29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29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38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29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29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39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29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29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29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29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0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29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29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29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29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1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29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29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28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29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29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29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43" t="s">
        <v>19</v>
      </c>
      <c r="F35" s="131"/>
      <c r="G35" s="131"/>
      <c r="H35" s="131"/>
      <c r="I35" s="131"/>
      <c r="J35" s="131"/>
      <c r="K35" s="131"/>
      <c r="L35" s="131"/>
      <c r="M35" s="131"/>
      <c r="N35" s="131"/>
      <c r="O35" s="131"/>
      <c r="P35" s="131"/>
    </row>
    <row r="36" spans="2:26" ht="15" customHeight="1" x14ac:dyDescent="0.25">
      <c r="D36" s="38"/>
      <c r="E36" s="143" t="s">
        <v>24</v>
      </c>
      <c r="F36" s="131"/>
      <c r="G36" s="131"/>
      <c r="H36" s="131"/>
      <c r="I36" s="131"/>
      <c r="J36" s="131"/>
      <c r="K36" s="131"/>
      <c r="L36" s="131"/>
      <c r="M36" s="131"/>
      <c r="N36" s="131"/>
      <c r="O36" s="131"/>
      <c r="P36" s="131"/>
    </row>
    <row r="37" spans="2:26" ht="15" customHeight="1" x14ac:dyDescent="0.25">
      <c r="D37" s="39"/>
      <c r="E37" s="143" t="s">
        <v>28</v>
      </c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</row>
    <row r="38" spans="2:26" ht="15" customHeight="1" x14ac:dyDescent="0.25">
      <c r="D38" s="40"/>
      <c r="E38" s="143" t="s">
        <v>34</v>
      </c>
      <c r="F38" s="131"/>
      <c r="G38" s="131"/>
      <c r="H38" s="131"/>
      <c r="I38" s="131"/>
      <c r="J38" s="131"/>
      <c r="K38" s="131"/>
      <c r="L38" s="131"/>
      <c r="M38" s="131"/>
      <c r="N38" s="131"/>
      <c r="O38" s="131"/>
      <c r="P38" s="131"/>
    </row>
    <row r="39" spans="2:26" ht="15" customHeight="1" x14ac:dyDescent="0.25">
      <c r="D39" s="41"/>
      <c r="E39" s="143" t="s">
        <v>52</v>
      </c>
      <c r="F39" s="131"/>
      <c r="G39" s="131"/>
      <c r="H39" s="131"/>
      <c r="I39" s="131"/>
      <c r="J39" s="131"/>
      <c r="K39" s="131"/>
      <c r="L39" s="131"/>
      <c r="M39" s="131"/>
      <c r="N39" s="131"/>
      <c r="O39" s="131"/>
      <c r="P39" s="131"/>
    </row>
    <row r="40" spans="2:26" ht="15" customHeight="1" x14ac:dyDescent="0.25">
      <c r="D40" s="42"/>
      <c r="E40" s="143" t="s">
        <v>44</v>
      </c>
      <c r="F40" s="131"/>
      <c r="G40" s="131"/>
      <c r="H40" s="131"/>
      <c r="I40" s="131"/>
      <c r="J40" s="131"/>
      <c r="K40" s="131"/>
      <c r="L40" s="131"/>
      <c r="M40" s="131"/>
      <c r="N40" s="131"/>
      <c r="O40" s="131"/>
      <c r="P40" s="131"/>
    </row>
    <row r="41" spans="2:26" ht="15" customHeight="1" x14ac:dyDescent="0.25">
      <c r="D41" s="43"/>
      <c r="E41" s="143" t="s">
        <v>49</v>
      </c>
      <c r="F41" s="131"/>
      <c r="G41" s="131"/>
      <c r="H41" s="131"/>
      <c r="I41" s="131"/>
      <c r="J41" s="131"/>
      <c r="K41" s="131"/>
      <c r="L41" s="131"/>
      <c r="M41" s="131"/>
      <c r="N41" s="131"/>
      <c r="O41" s="131"/>
      <c r="P41" s="131"/>
    </row>
    <row r="43" spans="2:26" ht="15" customHeight="1" x14ac:dyDescent="0.25">
      <c r="E43" s="143"/>
      <c r="F43" s="131"/>
      <c r="G43" s="131"/>
      <c r="H43" s="131"/>
      <c r="I43" s="131"/>
      <c r="J43" s="131"/>
      <c r="K43" s="131"/>
      <c r="L43" s="131"/>
      <c r="M43" s="131"/>
      <c r="N43" s="131"/>
      <c r="O43" s="131"/>
      <c r="P43" s="131"/>
    </row>
    <row r="44" spans="2:26" ht="15" customHeight="1" x14ac:dyDescent="0.25">
      <c r="E44" s="143"/>
      <c r="F44" s="131"/>
      <c r="G44" s="131"/>
      <c r="H44" s="131"/>
      <c r="I44" s="131"/>
      <c r="J44" s="131"/>
      <c r="K44" s="131"/>
      <c r="L44" s="131"/>
      <c r="M44" s="131"/>
      <c r="N44" s="131"/>
      <c r="O44" s="131"/>
      <c r="P44" s="131"/>
    </row>
    <row r="46" spans="2:26" ht="15" customHeight="1" x14ac:dyDescent="0.25">
      <c r="E46" s="144"/>
      <c r="F46" s="131"/>
      <c r="G46" s="131"/>
      <c r="H46" s="131"/>
      <c r="I46" s="131"/>
      <c r="J46" s="131"/>
      <c r="K46" s="131"/>
      <c r="L46" s="131"/>
      <c r="M46" s="131"/>
      <c r="N46" s="131"/>
      <c r="O46" s="131"/>
      <c r="P46" s="131"/>
    </row>
    <row r="47" spans="2:26" x14ac:dyDescent="0.25">
      <c r="B47" s="145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</row>
    <row r="49" spans="2:26" x14ac:dyDescent="0.25">
      <c r="B49" s="142"/>
      <c r="C49" s="131"/>
      <c r="D49" s="131"/>
      <c r="E49" s="131"/>
      <c r="F49" s="131"/>
      <c r="G49" s="131"/>
      <c r="H49" s="131"/>
      <c r="I49" s="131"/>
      <c r="J49" s="131"/>
      <c r="K49" s="131"/>
      <c r="L49" s="131"/>
      <c r="M49" s="131"/>
      <c r="N49" s="131"/>
      <c r="O49" s="131"/>
      <c r="P49" s="131"/>
      <c r="Q49" s="131"/>
      <c r="R49" s="131"/>
      <c r="S49" s="131"/>
      <c r="T49" s="131"/>
      <c r="U49" s="131"/>
      <c r="V49" s="131"/>
      <c r="W49" s="131"/>
      <c r="X49" s="131"/>
      <c r="Y49" s="131"/>
      <c r="Z49" s="131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6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49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0" t="s">
        <v>55</v>
      </c>
      <c r="B3" s="127"/>
      <c r="C3" s="127"/>
    </row>
    <row r="4" spans="1:18" ht="15" customHeight="1" x14ac:dyDescent="0.25">
      <c r="A4" s="148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8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7" t="s">
        <v>60</v>
      </c>
      <c r="B6" s="127"/>
      <c r="C6" s="3">
        <f>15/MAX(C5,1)</f>
        <v>3</v>
      </c>
    </row>
    <row r="7" spans="1:18" ht="15" customHeight="1" x14ac:dyDescent="0.25">
      <c r="A7" s="151" t="s">
        <v>61</v>
      </c>
      <c r="B7" s="127"/>
      <c r="C7" s="127"/>
    </row>
    <row r="8" spans="1:18" ht="15" customHeight="1" x14ac:dyDescent="0.25">
      <c r="A8" s="148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8" t="s">
        <v>64</v>
      </c>
      <c r="B9" s="127"/>
      <c r="C9" s="2">
        <v>5</v>
      </c>
    </row>
    <row r="10" spans="1:18" ht="15" customHeight="1" x14ac:dyDescent="0.25">
      <c r="A10" s="148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8" t="s">
        <v>67</v>
      </c>
      <c r="B11" s="127"/>
      <c r="C11" s="2">
        <v>5</v>
      </c>
    </row>
    <row r="12" spans="1:18" ht="15" customHeight="1" x14ac:dyDescent="0.25">
      <c r="A12" s="148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8" t="s">
        <v>70</v>
      </c>
      <c r="B13" s="127"/>
      <c r="C13" s="4">
        <f>C8+C9+C10+C11</f>
        <v>55</v>
      </c>
    </row>
    <row r="14" spans="1:18" ht="15" customHeight="1" x14ac:dyDescent="0.25">
      <c r="A14" s="148" t="s">
        <v>71</v>
      </c>
      <c r="B14" s="127"/>
      <c r="C14" s="27">
        <f ca="1">TODAY()</f>
        <v>46296</v>
      </c>
    </row>
    <row r="15" spans="1:18" ht="15" customHeight="1" x14ac:dyDescent="0.25">
      <c r="M15" s="152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Bientôt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Bientôt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Bientôt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OK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OK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OK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</vt:i4>
      </vt:variant>
    </vt:vector>
  </HeadingPairs>
  <TitlesOfParts>
    <vt:vector size="9" baseType="lpstr">
      <vt:lpstr>BDD_SUIVI_CHANTIERS</vt:lpstr>
      <vt:lpstr>PRIORISATION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2026-10-01T12:25:19Z</dcterms:modified>
  <cp:category/>
  <cp:contentStatus/>
</cp:coreProperties>
</file>