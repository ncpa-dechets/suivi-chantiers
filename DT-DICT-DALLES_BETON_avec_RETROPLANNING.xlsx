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27A175E0-11ED-4AF6-94D2-E10D66AE9316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BDD_SUIVI_CHANTIERS" sheetId="10" r:id="rId1"/>
    <sheet name="CHANTIERS" sheetId="3" r:id="rId2"/>
    <sheet name="RETROPLANNING_VISUEL" sheetId="4" r:id="rId3"/>
    <sheet name="RETROPLANNING" sheetId="1" r:id="rId4"/>
    <sheet name="SYNTHESE_TRAVAUX" sheetId="2" r:id="rId5"/>
  </sheets>
  <externalReferences>
    <externalReference r:id="rId6"/>
  </externalReferences>
  <definedNames>
    <definedName name="DonnéesExternes_2" localSheetId="0" hidden="1">BDD_SUIVI_CHANTIERS!$A$1:$F$138</definedName>
    <definedName name="_xlnm.Print_Titles" localSheetId="2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<sst xmlns="http://schemas.openxmlformats.org/spreadsheetml/2006/main" count="1654" uniqueCount="395">
  <si>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</si>
  <si>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</si>
  <si>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</si>
  <si>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</si>
  <si>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</si>
  <si>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</si>
  <si>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</si>
  <si>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</si>
  <si>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</si>
  <si>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</si>
  <si>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</si>
  <si>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</si>
  <si>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</si>
  <si>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</si>
  <si>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</si>
  <si>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</si>
  <si>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</si>
  <si>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</si>
  <si>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</si>
  <si>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</si>
  <si>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</si>
  <si>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</si>
  <si>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</si>
  <si>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</si>
  <si>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</si>
  <si>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</si>
  <si>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</si>
  <si>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</si>
  <si>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</si>
  <si>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</si>
  <si>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</si>
  <si>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</si>
  <si>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</si>
  <si>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</si>
  <si>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</si>
  <si>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</si>
  <si>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</si>
  <si>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</si>
  <si>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</si>
  <si>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</si>
  <si>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</si>
  <si>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</si>
  <si>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</si>
  <si>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</si>
  <si>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</si>
  <si>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</si>
  <si>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</si>
  <si>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</si>
  <si>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</si>
  <si>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</si>
  <si>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</si>
  <si>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</si>
  <si>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</si>
  <si>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</si>
  <si>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</si>
  <si>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</si>
  <si>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</si>
  <si>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</si>
  <si>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</si>
  <si>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</si>
  <si>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</si>
  <si>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</si>
  <si>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</si>
  <si>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</si>
  <si>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</si>
  <si>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</si>
  <si>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</si>
  <si>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</si>
  <si>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</si>
  <si>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</si>
  <si>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</si>
  <si>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</si>
  <si>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</si>
  <si>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</si>
  <si>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</si>
  <si>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</si>
  <si>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</si>
  <si>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</si>
  <si>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</si>
  <si>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</si>
  <si>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</si>
  <si>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</si>
  <si>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</si>
  <si>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</si>
  <si>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</si>
  <si>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</si>
  <si>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</si>
  <si>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</si>
  <si>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</si>
  <si>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</si>
  <si>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</si>
  <si>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</si>
  <si>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</si>
  <si>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</si>
  <si>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</si>
  <si>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</si>
  <si>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</si>
  <si>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</si>
  <si>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</si>
  <si>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</si>
  <si>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</si>
  <si>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</si>
  <si>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</si>
  <si>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</si>
  <si>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</si>
  <si>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</si>
  <si>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</si>
  <si>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</si>
  <si>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</si>
  <si>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</si>
  <si>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</si>
  <si>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</si>
  <si>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</si>
  <si>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</si>
  <si>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</si>
  <si>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</si>
  <si>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</si>
  <si>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</si>
  <si>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</si>
  <si>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</si>
  <si>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</si>
  <si>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</si>
  <si>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</si>
  <si>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</si>
  <si>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</si>
  <si>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</si>
  <si>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</si>
  <si>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</si>
  <si>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</si>
  <si>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</si>
  <si>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</si>
  <si>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</si>
  <si>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</si>
  <si>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</si>
  <si>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</si>
  <si>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</si>
  <si>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</si>
  <si>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</si>
  <si>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</si>
  <si>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</si>
  <si>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</si>
  <si>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</si>
  <si>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</si>
  <si>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</si>
  <si>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</si>
  <si>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</si>
  <si>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</si>
  <si>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</si>
  <si>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</si>
  <si>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</si>
  <si>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</si>
  <si>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</si>
  <si>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</si>
  <si>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</si>
  <si>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</si>
  <si>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</si>
  <si>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</si>
  <si>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</si>
  <si>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</si>
  <si>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</si>
  <si>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</si>
  <si>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</si>
  <si>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</si>
  <si>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</si>
  <si>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</si>
  <si>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</si>
  <si>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</si>
  <si>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</si>
  <si>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</si>
  <si>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</si>
  <si>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</si>
  <si>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</si>
  <si>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</si>
  <si>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</si>
  <si>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</si>
  <si>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</si>
  <si>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</si>
  <si>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</si>
  <si>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</si>
  <si>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</si>
  <si>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</si>
  <si>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</si>
  <si>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</si>
  <si>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</si>
  <si>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</si>
  <si>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</si>
  <si>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</si>
  <si>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</si>
  <si>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</si>
  <si>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</si>
  <si>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</si>
  <si>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</si>
  <si>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</si>
  <si>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</si>
  <si>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</si>
  <si>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</si>
  <si>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</si>
  <si>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</si>
  <si>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</si>
  <si>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</si>
  <si>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</si>
  <si>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</si>
  <si>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</si>
  <si>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</si>
  <si>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</si>
  <si>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</si>
  <si>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</si>
  <si>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</si>
  <si>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</si>
  <si>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</si>
  <si>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</si>
  <si>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</si>
  <si>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</si>
  <si>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</si>
  <si>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</si>
  <si>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</si>
  <si>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</si>
  <si>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</si>
  <si>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</si>
  <si>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</si>
  <si>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</si>
  <si>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</si>
  <si>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</si>
  <si>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</si>
  <si>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</si>
  <si>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</si>
  <si>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</si>
  <si>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</si>
  <si>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</si>
  <si>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</si>
  <si>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</si>
  <si>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</si>
  <si>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</si>
  <si>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</si>
  <si>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</si>
  <si>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</si>
  <si>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49.21928081367654</t>
  </si>
  <si>
    <t xml:space="preserve"> -0.09311749073087931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</si>
  <si>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</si>
  <si>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</si>
  <si>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</si>
  <si>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</si>
  <si>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</si>
  <si>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</si>
  <si>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</si>
  <si>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</si>
  <si>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</si>
  <si>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</si>
  <si>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</si>
  <si>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</si>
  <si>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</si>
  <si>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</si>
  <si>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</si>
  <si>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</si>
  <si>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</si>
  <si>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</si>
  <si>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</si>
  <si>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</si>
  <si>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</si>
  <si>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</si>
  <si>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</si>
  <si>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</si>
  <si>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</si>
  <si>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</si>
  <si>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</si>
  <si>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</si>
  <si>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</si>
  <si>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</si>
  <si>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</si>
  <si>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</si>
  <si>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</si>
  <si>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</si>
  <si>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</si>
  <si>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</si>
  <si>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</si>
  <si>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</si>
  <si>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</si>
  <si>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</si>
  <si>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</si>
  <si>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</si>
  <si>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</si>
  <si>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</si>
  <si>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</si>
  <si>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</si>
  <si>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</si>
  <si>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</si>
  <si>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</si>
  <si>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</si>
  <si>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</si>
  <si>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</si>
  <si>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</si>
  <si>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</si>
  <si>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</si>
  <si>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</si>
  <si>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</si>
  <si>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</si>
  <si>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</si>
  <si>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</si>
  <si>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</si>
  <si>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</si>
  <si>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</si>
  <si>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</si>
  <si>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</si>
  <si>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</si>
  <si>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</si>
  <si>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</si>
  <si>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</si>
  <si>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</si>
  <si>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</si>
  <si>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</si>
  <si>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</si>
  <si>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</si>
  <si>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</si>
  <si>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</si>
  <si>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</si>
  <si>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</si>
  <si>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</si>
  <si>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</si>
  <si>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</si>
  <si>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</si>
  <si>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</si>
  <si>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</si>
  <si>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</si>
  <si>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</si>
  <si>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</si>
  <si>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</si>
  <si>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</si>
  <si>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</si>
  <si>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</si>
  <si>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</si>
  <si>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</si>
  <si>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</si>
  <si>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</si>
  <si>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</si>
  <si>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</si>
  <si>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</si>
  <si>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</si>
  <si>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</si>
  <si>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</si>
  <si>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</si>
  <si>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</si>
  <si>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</si>
  <si>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</si>
  <si>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</si>
  <si>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</si>
  <si>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</si>
  <si>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</si>
  <si>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</si>
  <si>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</si>
  <si>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</si>
  <si>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</si>
  <si>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</si>
  <si>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</si>
  <si>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</si>
  <si>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</si>
  <si>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</si>
  <si>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</si>
  <si>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</si>
  <si>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</si>
  <si>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</si>
  <si>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</si>
  <si>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</si>
  <si>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</si>
  <si>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</si>
  <si>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</si>
  <si>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</si>
  <si>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</si>
  <si>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</si>
  <si>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</si>
  <si>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</si>
  <si>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</si>
  <si>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</si>
  <si>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</si>
  <si>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</si>
  <si>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</si>
  <si>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</si>
  <si>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</si>
  <si>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</si>
  <si>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</si>
  <si>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</si>
  <si>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</si>
  <si>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</si>
  <si>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</si>
  <si>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</si>
  <si>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</si>
  <si>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</si>
  <si>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</si>
  <si>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</si>
  <si>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</si>
  <si>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</si>
  <si>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</si>
  <si>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</si>
  <si>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</si>
  <si>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Dalle PDR + claustra</t>
  </si>
  <si>
    <t>le niveau de priorité est à retrouver dans le fichier de préparation du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</si>
</sst>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6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0" fontId="0" fillId="0" borderId="9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31" fillId="0" borderId="15" xfId="2" applyFont="1" applyBorder="1" applyAlignment="1">
      <alignment horizontal="left" vertical="center" indent="1"/>
    </xf>
    <xf numFmtId="0" fontId="1" fillId="14" borderId="16" xfId="2" applyFill="1" applyBorder="1"/>
    <xf numFmtId="0" fontId="1" fillId="14" borderId="17" xfId="2" applyFill="1" applyBorder="1"/>
    <xf numFmtId="0" fontId="1" fillId="0" borderId="17" xfId="2" applyBorder="1"/>
    <xf numFmtId="0" fontId="1" fillId="0" borderId="18" xfId="2" applyBorder="1"/>
    <xf numFmtId="0" fontId="1" fillId="0" borderId="16" xfId="2" applyBorder="1"/>
    <xf numFmtId="0" fontId="1" fillId="15" borderId="17" xfId="2" applyFill="1" applyBorder="1"/>
    <xf numFmtId="0" fontId="1" fillId="15" borderId="18" xfId="2" applyFill="1" applyBorder="1"/>
    <xf numFmtId="0" fontId="1" fillId="15" borderId="16" xfId="2" applyFill="1" applyBorder="1"/>
    <xf numFmtId="0" fontId="31" fillId="0" borderId="15" xfId="2" applyFont="1" applyBorder="1" applyAlignment="1">
      <alignment horizontal="left" vertical="center" wrapText="1" indent="1"/>
    </xf>
    <xf numFmtId="0" fontId="1" fillId="16" borderId="17" xfId="2" applyFill="1" applyBorder="1"/>
    <xf numFmtId="0" fontId="1" fillId="16" borderId="18" xfId="2" applyFill="1" applyBorder="1"/>
    <xf numFmtId="0" fontId="1" fillId="16" borderId="16" xfId="2" applyFill="1" applyBorder="1"/>
    <xf numFmtId="0" fontId="1" fillId="17" borderId="18" xfId="2" applyFill="1" applyBorder="1"/>
    <xf numFmtId="0" fontId="1" fillId="17" borderId="16" xfId="2" applyFill="1" applyBorder="1"/>
    <xf numFmtId="0" fontId="1" fillId="17" borderId="17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8" borderId="18" xfId="2" applyFill="1" applyBorder="1"/>
    <xf numFmtId="0" fontId="1" fillId="19" borderId="18" xfId="2" applyFill="1" applyBorder="1"/>
    <xf numFmtId="0" fontId="1" fillId="19" borderId="16" xfId="2" applyFill="1" applyBorder="1"/>
    <xf numFmtId="0" fontId="1" fillId="19" borderId="17" xfId="2" applyFill="1" applyBorder="1"/>
    <xf numFmtId="0" fontId="1" fillId="20" borderId="17" xfId="2" applyFill="1" applyBorder="1"/>
    <xf numFmtId="0" fontId="1" fillId="20" borderId="18" xfId="2" applyFill="1" applyBorder="1"/>
    <xf numFmtId="0" fontId="1" fillId="20" borderId="16" xfId="2" applyFill="1" applyBorder="1"/>
    <xf numFmtId="0" fontId="1" fillId="21" borderId="17" xfId="2" applyFill="1" applyBorder="1"/>
    <xf numFmtId="0" fontId="1" fillId="21" borderId="18" xfId="2" applyFill="1" applyBorder="1"/>
    <xf numFmtId="0" fontId="1" fillId="21" borderId="16" xfId="2" applyFill="1" applyBorder="1"/>
    <xf numFmtId="0" fontId="1" fillId="22" borderId="17" xfId="2" applyFill="1" applyBorder="1"/>
    <xf numFmtId="0" fontId="1" fillId="22" borderId="18" xfId="2" applyFill="1" applyBorder="1"/>
    <xf numFmtId="0" fontId="1" fillId="22" borderId="16" xfId="2" applyFill="1" applyBorder="1"/>
    <xf numFmtId="0" fontId="1" fillId="23" borderId="17" xfId="2" applyFill="1" applyBorder="1"/>
    <xf numFmtId="0" fontId="1" fillId="23" borderId="18" xfId="2" applyFill="1" applyBorder="1"/>
    <xf numFmtId="0" fontId="1" fillId="23" borderId="16" xfId="2" applyFill="1" applyBorder="1"/>
    <xf numFmtId="0" fontId="1" fillId="24" borderId="17" xfId="2" applyFill="1" applyBorder="1"/>
    <xf numFmtId="0" fontId="1" fillId="24" borderId="18" xfId="2" applyFill="1" applyBorder="1"/>
    <xf numFmtId="0" fontId="1" fillId="24" borderId="16" xfId="2" applyFill="1" applyBorder="1"/>
    <xf numFmtId="0" fontId="30" fillId="25" borderId="14" xfId="2" applyFont="1" applyFill="1" applyBorder="1" applyAlignment="1">
      <alignment horizontal="center" vertical="center" wrapText="1"/>
    </xf>
    <xf numFmtId="0" fontId="1" fillId="0" borderId="19" xfId="2" applyBorder="1"/>
    <xf numFmtId="0" fontId="1" fillId="0" borderId="20" xfId="2" applyBorder="1"/>
    <xf numFmtId="0" fontId="1" fillId="0" borderId="21" xfId="2" applyBorder="1"/>
    <xf numFmtId="0" fontId="1" fillId="26" borderId="20" xfId="2" applyFill="1" applyBorder="1"/>
    <xf numFmtId="0" fontId="1" fillId="26" borderId="21" xfId="2" applyFill="1" applyBorder="1"/>
    <xf numFmtId="0" fontId="1" fillId="26" borderId="19" xfId="2" applyFill="1" applyBorder="1"/>
    <xf numFmtId="0" fontId="33" fillId="0" borderId="0" xfId="2" applyFont="1"/>
    <xf numFmtId="0" fontId="34" fillId="0" borderId="0" xfId="2" applyFont="1"/>
    <xf numFmtId="0" fontId="1" fillId="14" borderId="14" xfId="2" applyFill="1" applyBorder="1"/>
    <xf numFmtId="0" fontId="1" fillId="16" borderId="14" xfId="2" applyFill="1" applyBorder="1"/>
    <xf numFmtId="0" fontId="1" fillId="17" borderId="14" xfId="2" applyFill="1" applyBorder="1"/>
    <xf numFmtId="0" fontId="1" fillId="19" borderId="14" xfId="2" applyFill="1" applyBorder="1"/>
    <xf numFmtId="0" fontId="1" fillId="21" borderId="14" xfId="2" applyFill="1" applyBorder="1"/>
    <xf numFmtId="0" fontId="1" fillId="23" borderId="14" xfId="2" applyFill="1" applyBorder="1"/>
    <xf numFmtId="0" fontId="1" fillId="25" borderId="14" xfId="2" applyFill="1" applyBorder="1"/>
    <xf numFmtId="0" fontId="0" fillId="0" borderId="0" xfId="0" applyAlignment="1">
      <alignment wrapText="1"/>
    </xf>
    <xf numFmtId="0" fontId="32" fillId="23" borderId="14" xfId="2" applyFont="1" applyFill="1" applyBorder="1" applyAlignment="1">
      <alignment horizontal="center" vertical="center" wrapText="1"/>
    </xf>
    <xf numFmtId="0" fontId="1" fillId="0" borderId="14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10" xfId="2" applyFont="1" applyFill="1" applyBorder="1" applyAlignment="1">
      <alignment horizontal="center" vertical="center"/>
    </xf>
    <xf numFmtId="0" fontId="30" fillId="14" borderId="14" xfId="2" applyFont="1" applyFill="1" applyBorder="1" applyAlignment="1">
      <alignment horizontal="center" vertical="center" wrapText="1"/>
    </xf>
    <xf numFmtId="0" fontId="30" fillId="16" borderId="14" xfId="2" applyFont="1" applyFill="1" applyBorder="1" applyAlignment="1">
      <alignment horizontal="center" vertical="center" wrapText="1"/>
    </xf>
    <xf numFmtId="0" fontId="30" fillId="17" borderId="14" xfId="2" applyFont="1" applyFill="1" applyBorder="1" applyAlignment="1">
      <alignment horizontal="center" vertical="center" wrapText="1"/>
    </xf>
    <xf numFmtId="0" fontId="30" fillId="19" borderId="14" xfId="2" applyFont="1" applyFill="1" applyBorder="1" applyAlignment="1">
      <alignment horizontal="center" vertical="center" wrapText="1"/>
    </xf>
    <xf numFmtId="0" fontId="30" fillId="21" borderId="14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0" fillId="0" borderId="0" xfId="0"/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</sheetNames>
    <sheetDataSet>
      <sheetData sheetId="0"/>
      <sheetData sheetId="1"/>
      <sheetData sheetId="2"/>
      <sheetData sheetId="3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0</v>
          </cell>
          <cell r="N3">
            <v>0</v>
          </cell>
          <cell r="O3">
            <v>0</v>
          </cell>
          <cell r="P3"/>
          <cell r="Q3"/>
          <cell r="R3"/>
          <cell r="S3"/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H4"/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Q4"/>
          <cell r="R4"/>
          <cell r="S4"/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0</v>
          </cell>
          <cell r="N5">
            <v>0</v>
          </cell>
          <cell r="O5">
            <v>0</v>
          </cell>
          <cell r="P5"/>
          <cell r="Q5"/>
          <cell r="R5"/>
          <cell r="S5"/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Q7"/>
          <cell r="R7"/>
          <cell r="S7"/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0</v>
          </cell>
          <cell r="N8">
            <v>0</v>
          </cell>
          <cell r="O8">
            <v>0</v>
          </cell>
          <cell r="P8"/>
          <cell r="Q8"/>
          <cell r="R8"/>
          <cell r="S8"/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6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12"/>
          <cell r="R12"/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6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Q15"/>
          <cell r="R15"/>
          <cell r="S15"/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1</v>
          </cell>
          <cell r="H17" t="str">
            <v>A discuter. L'installation d'une cabane à cartons pourrait se révéler très pertinente, notamment pour le marché. Proposer plusieurs emplacements de repli.</v>
          </cell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Q17"/>
          <cell r="R17"/>
          <cell r="S17"/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Q20"/>
          <cell r="R20"/>
          <cell r="S20"/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H23"/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0</v>
          </cell>
          <cell r="N23">
            <v>0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0</v>
          </cell>
          <cell r="P24"/>
          <cell r="Q24"/>
          <cell r="R24"/>
          <cell r="S24"/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4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Q26"/>
          <cell r="R26"/>
          <cell r="S26"/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Q27"/>
          <cell r="R27"/>
          <cell r="S27"/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0</v>
          </cell>
          <cell r="N30">
            <v>0</v>
          </cell>
          <cell r="O30">
            <v>0</v>
          </cell>
          <cell r="P30"/>
          <cell r="Q30"/>
          <cell r="R30"/>
          <cell r="S30"/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0</v>
          </cell>
          <cell r="P31"/>
          <cell r="Q31"/>
          <cell r="R31"/>
          <cell r="S31"/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0</v>
          </cell>
          <cell r="N32">
            <v>0</v>
          </cell>
          <cell r="O32">
            <v>0</v>
          </cell>
          <cell r="P32"/>
          <cell r="Q32"/>
          <cell r="R32"/>
          <cell r="S32"/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Q37"/>
          <cell r="R37"/>
          <cell r="S37"/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H40"/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7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38" tableType="queryTable" totalsRowShown="0">
  <autoFilter ref="A1:F138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7"/>
    <tableColumn id="3" xr3:uid="{C1B44CB3-87DD-4EA0-9CD8-E05789DA6808}" uniqueName="3" name="type" queryTableFieldId="3" dataDxfId="6"/>
    <tableColumn id="4" xr3:uid="{AF0E6AB0-A895-4E52-8C34-645D56B009A3}" uniqueName="4" name="latitude" queryTableFieldId="4" dataDxfId="5"/>
    <tableColumn id="5" xr3:uid="{634CF582-55D4-4396-AFC2-3D295BAE9712}" uniqueName="5" name="longitude" queryTableFieldId="5" dataDxfId="4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9" totalsRowShown="0">
  <autoFilter ref="A2:P139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3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38"/>
  <sheetViews>
    <sheetView topLeftCell="A107" workbookViewId="0">
      <selection activeCell="A2" sqref="A2:E138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</cols>
  <sheetData>
    <row r="1" spans="1:6" x14ac:dyDescent="0.25">
      <c r="A1" t="s">
        <v>256</v>
      </c>
      <c r="B1" t="s">
        <v>257</v>
      </c>
      <c r="C1" t="s">
        <v>258</v>
      </c>
      <c r="D1" t="s">
        <v>137</v>
      </c>
      <c r="E1" t="s">
        <v>138</v>
      </c>
      <c r="F1" t="s">
        <v>259</v>
      </c>
    </row>
    <row r="2" spans="1:6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260</v>
      </c>
    </row>
    <row r="3" spans="1:6" x14ac:dyDescent="0.25">
      <c r="A3">
        <v>14227</v>
      </c>
      <c r="B3" t="s">
        <v>95</v>
      </c>
      <c r="C3" t="s">
        <v>91</v>
      </c>
      <c r="D3" t="s">
        <v>198</v>
      </c>
      <c r="E3" t="s">
        <v>199</v>
      </c>
      <c r="F3" t="s">
        <v>260</v>
      </c>
    </row>
    <row r="4" spans="1:6" x14ac:dyDescent="0.25">
      <c r="A4">
        <v>14227</v>
      </c>
      <c r="B4" t="s">
        <v>95</v>
      </c>
      <c r="C4" t="s">
        <v>91</v>
      </c>
      <c r="D4" t="s">
        <v>200</v>
      </c>
      <c r="E4" t="s">
        <v>201</v>
      </c>
      <c r="F4" t="s">
        <v>260</v>
      </c>
    </row>
    <row r="5" spans="1:6" x14ac:dyDescent="0.25">
      <c r="A5">
        <v>14524</v>
      </c>
      <c r="B5" t="s">
        <v>103</v>
      </c>
      <c r="C5" t="s">
        <v>91</v>
      </c>
      <c r="D5" t="s">
        <v>202</v>
      </c>
      <c r="E5" t="s">
        <v>203</v>
      </c>
      <c r="F5" t="s">
        <v>260</v>
      </c>
    </row>
    <row r="6" spans="1:6" x14ac:dyDescent="0.25">
      <c r="A6">
        <v>14665</v>
      </c>
      <c r="B6" t="s">
        <v>90</v>
      </c>
      <c r="C6" t="s">
        <v>91</v>
      </c>
      <c r="D6" t="s">
        <v>204</v>
      </c>
      <c r="E6" t="s">
        <v>205</v>
      </c>
      <c r="F6" t="s">
        <v>260</v>
      </c>
    </row>
    <row r="7" spans="1:6" x14ac:dyDescent="0.25">
      <c r="A7">
        <v>14009</v>
      </c>
      <c r="B7" t="s">
        <v>105</v>
      </c>
      <c r="C7" t="s">
        <v>87</v>
      </c>
      <c r="D7" t="s">
        <v>150</v>
      </c>
      <c r="E7" t="s">
        <v>151</v>
      </c>
      <c r="F7" t="s">
        <v>260</v>
      </c>
    </row>
    <row r="8" spans="1:6" x14ac:dyDescent="0.25">
      <c r="A8">
        <v>14009</v>
      </c>
      <c r="B8" t="s">
        <v>105</v>
      </c>
      <c r="C8" t="s">
        <v>87</v>
      </c>
      <c r="D8" t="s">
        <v>152</v>
      </c>
      <c r="E8" t="s">
        <v>153</v>
      </c>
      <c r="F8" t="s">
        <v>260</v>
      </c>
    </row>
    <row r="9" spans="1:6" x14ac:dyDescent="0.25">
      <c r="A9">
        <v>14024</v>
      </c>
      <c r="B9" t="s">
        <v>106</v>
      </c>
      <c r="C9" t="s">
        <v>87</v>
      </c>
      <c r="D9" t="s">
        <v>154</v>
      </c>
      <c r="E9" t="s">
        <v>155</v>
      </c>
      <c r="F9" t="s">
        <v>260</v>
      </c>
    </row>
    <row r="10" spans="1:6" x14ac:dyDescent="0.25">
      <c r="A10">
        <v>14046</v>
      </c>
      <c r="B10" t="s">
        <v>107</v>
      </c>
      <c r="C10" t="s">
        <v>87</v>
      </c>
      <c r="D10" t="s">
        <v>156</v>
      </c>
      <c r="E10" t="s">
        <v>157</v>
      </c>
      <c r="F10" t="s">
        <v>260</v>
      </c>
    </row>
    <row r="11" spans="1:6" x14ac:dyDescent="0.25">
      <c r="A11">
        <v>14046</v>
      </c>
      <c r="B11" t="s">
        <v>107</v>
      </c>
      <c r="C11" t="s">
        <v>87</v>
      </c>
      <c r="D11" t="s">
        <v>158</v>
      </c>
      <c r="E11" t="s">
        <v>159</v>
      </c>
      <c r="F11" t="s">
        <v>260</v>
      </c>
    </row>
    <row r="12" spans="1:6" x14ac:dyDescent="0.25">
      <c r="A12">
        <v>14110</v>
      </c>
      <c r="B12" t="s">
        <v>102</v>
      </c>
      <c r="C12" t="s">
        <v>87</v>
      </c>
      <c r="D12" t="s">
        <v>160</v>
      </c>
      <c r="E12" t="s">
        <v>161</v>
      </c>
      <c r="F12" t="s">
        <v>260</v>
      </c>
    </row>
    <row r="13" spans="1:6" x14ac:dyDescent="0.25">
      <c r="A13">
        <v>14117</v>
      </c>
      <c r="B13" t="s">
        <v>109</v>
      </c>
      <c r="C13" t="s">
        <v>87</v>
      </c>
      <c r="D13" t="s">
        <v>162</v>
      </c>
      <c r="E13" t="s">
        <v>163</v>
      </c>
      <c r="F13" t="s">
        <v>260</v>
      </c>
    </row>
    <row r="14" spans="1:6" x14ac:dyDescent="0.25">
      <c r="A14">
        <v>14117</v>
      </c>
      <c r="B14" t="s">
        <v>109</v>
      </c>
      <c r="C14" t="s">
        <v>87</v>
      </c>
      <c r="D14" t="s">
        <v>164</v>
      </c>
      <c r="E14" t="s">
        <v>165</v>
      </c>
      <c r="F14" t="s">
        <v>260</v>
      </c>
    </row>
    <row r="15" spans="1:6" x14ac:dyDescent="0.25">
      <c r="A15">
        <v>14225</v>
      </c>
      <c r="B15" t="s">
        <v>110</v>
      </c>
      <c r="C15" t="s">
        <v>87</v>
      </c>
      <c r="D15" t="s">
        <v>166</v>
      </c>
      <c r="E15" t="s">
        <v>167</v>
      </c>
      <c r="F15" t="s">
        <v>260</v>
      </c>
    </row>
    <row r="16" spans="1:6" x14ac:dyDescent="0.25">
      <c r="A16">
        <v>14225</v>
      </c>
      <c r="B16" t="s">
        <v>110</v>
      </c>
      <c r="C16" t="s">
        <v>87</v>
      </c>
      <c r="D16" t="s">
        <v>168</v>
      </c>
      <c r="E16" t="s">
        <v>169</v>
      </c>
      <c r="F16" t="s">
        <v>260</v>
      </c>
    </row>
    <row r="17" spans="1:6" x14ac:dyDescent="0.25">
      <c r="A17">
        <v>14225</v>
      </c>
      <c r="B17" t="s">
        <v>110</v>
      </c>
      <c r="C17" t="s">
        <v>87</v>
      </c>
      <c r="D17" t="s">
        <v>170</v>
      </c>
      <c r="E17" t="s">
        <v>171</v>
      </c>
      <c r="F17" t="s">
        <v>260</v>
      </c>
    </row>
    <row r="18" spans="1:6" x14ac:dyDescent="0.25">
      <c r="A18">
        <v>14225</v>
      </c>
      <c r="B18" t="s">
        <v>110</v>
      </c>
      <c r="C18" t="s">
        <v>87</v>
      </c>
      <c r="D18" t="s">
        <v>172</v>
      </c>
      <c r="E18" t="s">
        <v>173</v>
      </c>
      <c r="F18" t="s">
        <v>260</v>
      </c>
    </row>
    <row r="19" spans="1:6" x14ac:dyDescent="0.25">
      <c r="A19">
        <v>14229</v>
      </c>
      <c r="B19" t="s">
        <v>86</v>
      </c>
      <c r="C19" t="s">
        <v>87</v>
      </c>
      <c r="D19" t="s">
        <v>174</v>
      </c>
      <c r="E19" t="s">
        <v>175</v>
      </c>
      <c r="F19" t="s">
        <v>260</v>
      </c>
    </row>
    <row r="20" spans="1:6" x14ac:dyDescent="0.25">
      <c r="A20">
        <v>14305</v>
      </c>
      <c r="B20" t="s">
        <v>88</v>
      </c>
      <c r="C20" t="s">
        <v>87</v>
      </c>
      <c r="D20" t="s">
        <v>176</v>
      </c>
      <c r="E20" t="s">
        <v>177</v>
      </c>
      <c r="F20" t="s">
        <v>260</v>
      </c>
    </row>
    <row r="21" spans="1:6" x14ac:dyDescent="0.25">
      <c r="A21">
        <v>14409</v>
      </c>
      <c r="B21" t="s">
        <v>113</v>
      </c>
      <c r="C21" t="s">
        <v>87</v>
      </c>
      <c r="D21" t="s">
        <v>178</v>
      </c>
      <c r="E21" t="s">
        <v>179</v>
      </c>
      <c r="F21" t="s">
        <v>260</v>
      </c>
    </row>
    <row r="22" spans="1:6" x14ac:dyDescent="0.25">
      <c r="A22">
        <v>14409</v>
      </c>
      <c r="B22" t="s">
        <v>113</v>
      </c>
      <c r="C22" t="s">
        <v>87</v>
      </c>
      <c r="D22" t="s">
        <v>180</v>
      </c>
      <c r="E22" t="s">
        <v>181</v>
      </c>
      <c r="F22" t="s">
        <v>260</v>
      </c>
    </row>
    <row r="23" spans="1:6" x14ac:dyDescent="0.25">
      <c r="A23">
        <v>14409</v>
      </c>
      <c r="B23" t="s">
        <v>113</v>
      </c>
      <c r="C23" t="s">
        <v>87</v>
      </c>
      <c r="D23" t="s">
        <v>182</v>
      </c>
      <c r="E23" t="s">
        <v>183</v>
      </c>
      <c r="F23" t="s">
        <v>260</v>
      </c>
    </row>
    <row r="24" spans="1:6" x14ac:dyDescent="0.25">
      <c r="A24">
        <v>14530</v>
      </c>
      <c r="B24" t="s">
        <v>114</v>
      </c>
      <c r="C24" t="s">
        <v>87</v>
      </c>
      <c r="D24" t="s">
        <v>184</v>
      </c>
      <c r="E24" t="s">
        <v>185</v>
      </c>
      <c r="F24" t="s">
        <v>260</v>
      </c>
    </row>
    <row r="25" spans="1:6" x14ac:dyDescent="0.25">
      <c r="A25">
        <v>14550</v>
      </c>
      <c r="B25" t="s">
        <v>89</v>
      </c>
      <c r="C25" t="s">
        <v>87</v>
      </c>
      <c r="D25" t="s">
        <v>186</v>
      </c>
      <c r="E25" t="s">
        <v>187</v>
      </c>
      <c r="F25" t="s">
        <v>260</v>
      </c>
    </row>
    <row r="26" spans="1:6" x14ac:dyDescent="0.25">
      <c r="A26">
        <v>14660</v>
      </c>
      <c r="B26" t="s">
        <v>116</v>
      </c>
      <c r="C26" t="s">
        <v>87</v>
      </c>
      <c r="D26" t="s">
        <v>188</v>
      </c>
      <c r="E26" t="s">
        <v>189</v>
      </c>
      <c r="F26" t="s">
        <v>260</v>
      </c>
    </row>
    <row r="27" spans="1:6" x14ac:dyDescent="0.25">
      <c r="A27">
        <v>14665</v>
      </c>
      <c r="B27" t="s">
        <v>90</v>
      </c>
      <c r="C27" t="s">
        <v>87</v>
      </c>
      <c r="D27" t="s">
        <v>190</v>
      </c>
      <c r="E27" t="s">
        <v>191</v>
      </c>
      <c r="F27" t="s">
        <v>260</v>
      </c>
    </row>
    <row r="28" spans="1:6" x14ac:dyDescent="0.25">
      <c r="A28">
        <v>14724</v>
      </c>
      <c r="B28" t="s">
        <v>117</v>
      </c>
      <c r="C28" t="s">
        <v>87</v>
      </c>
      <c r="D28" t="s">
        <v>192</v>
      </c>
      <c r="E28" t="s">
        <v>193</v>
      </c>
      <c r="F28" t="s">
        <v>260</v>
      </c>
    </row>
    <row r="29" spans="1:6" x14ac:dyDescent="0.25">
      <c r="A29">
        <v>14743</v>
      </c>
      <c r="B29" t="s">
        <v>92</v>
      </c>
      <c r="C29" t="s">
        <v>87</v>
      </c>
      <c r="D29" t="s">
        <v>194</v>
      </c>
      <c r="E29" t="s">
        <v>195</v>
      </c>
      <c r="F29" t="s">
        <v>260</v>
      </c>
    </row>
    <row r="30" spans="1:6" x14ac:dyDescent="0.25">
      <c r="A30">
        <v>14009</v>
      </c>
      <c r="B30" t="s">
        <v>105</v>
      </c>
      <c r="C30" t="s">
        <v>393</v>
      </c>
      <c r="D30" t="s">
        <v>214</v>
      </c>
      <c r="E30" t="s">
        <v>215</v>
      </c>
      <c r="F30" t="s">
        <v>260</v>
      </c>
    </row>
    <row r="31" spans="1:6" x14ac:dyDescent="0.25">
      <c r="A31">
        <v>14009</v>
      </c>
      <c r="B31" t="s">
        <v>105</v>
      </c>
      <c r="C31" t="s">
        <v>393</v>
      </c>
      <c r="D31" t="s">
        <v>214</v>
      </c>
      <c r="E31" t="s">
        <v>215</v>
      </c>
      <c r="F31" t="s">
        <v>260</v>
      </c>
    </row>
    <row r="32" spans="1:6" x14ac:dyDescent="0.25">
      <c r="A32">
        <v>14012</v>
      </c>
      <c r="B32" t="s">
        <v>84</v>
      </c>
      <c r="C32" t="s">
        <v>393</v>
      </c>
      <c r="D32" t="s">
        <v>261</v>
      </c>
      <c r="E32" t="s">
        <v>262</v>
      </c>
      <c r="F32" t="s">
        <v>260</v>
      </c>
    </row>
    <row r="33" spans="1:6" x14ac:dyDescent="0.25">
      <c r="A33">
        <v>14012</v>
      </c>
      <c r="B33" t="s">
        <v>84</v>
      </c>
      <c r="C33" t="s">
        <v>393</v>
      </c>
      <c r="D33" t="s">
        <v>263</v>
      </c>
      <c r="E33" t="s">
        <v>264</v>
      </c>
      <c r="F33" t="s">
        <v>260</v>
      </c>
    </row>
    <row r="34" spans="1:6" x14ac:dyDescent="0.25">
      <c r="A34">
        <v>14012</v>
      </c>
      <c r="B34" t="s">
        <v>84</v>
      </c>
      <c r="C34" t="s">
        <v>393</v>
      </c>
      <c r="D34" t="s">
        <v>265</v>
      </c>
      <c r="E34" t="s">
        <v>266</v>
      </c>
      <c r="F34" t="s">
        <v>260</v>
      </c>
    </row>
    <row r="35" spans="1:6" x14ac:dyDescent="0.25">
      <c r="A35">
        <v>14024</v>
      </c>
      <c r="B35" t="s">
        <v>106</v>
      </c>
      <c r="C35" t="s">
        <v>393</v>
      </c>
      <c r="D35" t="s">
        <v>267</v>
      </c>
      <c r="E35" t="s">
        <v>268</v>
      </c>
      <c r="F35" t="s">
        <v>260</v>
      </c>
    </row>
    <row r="36" spans="1:6" x14ac:dyDescent="0.25">
      <c r="A36">
        <v>14024</v>
      </c>
      <c r="B36" t="s">
        <v>106</v>
      </c>
      <c r="C36" t="s">
        <v>393</v>
      </c>
      <c r="D36" t="s">
        <v>269</v>
      </c>
      <c r="E36" t="s">
        <v>270</v>
      </c>
      <c r="F36" t="s">
        <v>260</v>
      </c>
    </row>
    <row r="37" spans="1:6" x14ac:dyDescent="0.25">
      <c r="A37">
        <v>14024</v>
      </c>
      <c r="B37" t="s">
        <v>106</v>
      </c>
      <c r="C37" t="s">
        <v>393</v>
      </c>
      <c r="D37" t="s">
        <v>216</v>
      </c>
      <c r="E37" t="s">
        <v>217</v>
      </c>
      <c r="F37" t="s">
        <v>260</v>
      </c>
    </row>
    <row r="38" spans="1:6" x14ac:dyDescent="0.25">
      <c r="A38">
        <v>14045</v>
      </c>
      <c r="B38" t="s">
        <v>99</v>
      </c>
      <c r="C38" t="s">
        <v>393</v>
      </c>
      <c r="D38" t="s">
        <v>271</v>
      </c>
      <c r="E38" t="s">
        <v>272</v>
      </c>
      <c r="F38" t="s">
        <v>260</v>
      </c>
    </row>
    <row r="39" spans="1:6" x14ac:dyDescent="0.25">
      <c r="A39">
        <v>14046</v>
      </c>
      <c r="B39" t="s">
        <v>107</v>
      </c>
      <c r="C39" t="s">
        <v>393</v>
      </c>
      <c r="D39" t="s">
        <v>273</v>
      </c>
      <c r="E39" t="s">
        <v>274</v>
      </c>
      <c r="F39" t="s">
        <v>260</v>
      </c>
    </row>
    <row r="40" spans="1:6" x14ac:dyDescent="0.25">
      <c r="A40">
        <v>14046</v>
      </c>
      <c r="B40" t="s">
        <v>107</v>
      </c>
      <c r="C40" t="s">
        <v>393</v>
      </c>
      <c r="D40" t="s">
        <v>275</v>
      </c>
      <c r="E40" t="s">
        <v>276</v>
      </c>
      <c r="F40" t="s">
        <v>260</v>
      </c>
    </row>
    <row r="41" spans="1:6" x14ac:dyDescent="0.25">
      <c r="A41">
        <v>14046</v>
      </c>
      <c r="B41" t="s">
        <v>107</v>
      </c>
      <c r="C41" t="s">
        <v>393</v>
      </c>
      <c r="D41" t="s">
        <v>277</v>
      </c>
      <c r="E41" t="s">
        <v>278</v>
      </c>
      <c r="F41" t="s">
        <v>260</v>
      </c>
    </row>
    <row r="42" spans="1:6" x14ac:dyDescent="0.25">
      <c r="A42">
        <v>14046</v>
      </c>
      <c r="B42" t="s">
        <v>107</v>
      </c>
      <c r="C42" t="s">
        <v>393</v>
      </c>
      <c r="D42" t="s">
        <v>218</v>
      </c>
      <c r="E42" t="s">
        <v>219</v>
      </c>
      <c r="F42" t="s">
        <v>260</v>
      </c>
    </row>
    <row r="43" spans="1:6" x14ac:dyDescent="0.25">
      <c r="A43">
        <v>14046</v>
      </c>
      <c r="B43" t="s">
        <v>107</v>
      </c>
      <c r="C43" t="s">
        <v>393</v>
      </c>
      <c r="D43" t="s">
        <v>279</v>
      </c>
      <c r="E43" t="s">
        <v>280</v>
      </c>
      <c r="F43" t="s">
        <v>260</v>
      </c>
    </row>
    <row r="44" spans="1:6" x14ac:dyDescent="0.25">
      <c r="A44">
        <v>14046</v>
      </c>
      <c r="B44" t="s">
        <v>107</v>
      </c>
      <c r="C44" t="s">
        <v>393</v>
      </c>
      <c r="D44" t="s">
        <v>281</v>
      </c>
      <c r="E44" t="s">
        <v>282</v>
      </c>
      <c r="F44" t="s">
        <v>260</v>
      </c>
    </row>
    <row r="45" spans="1:6" x14ac:dyDescent="0.25">
      <c r="A45">
        <v>14231</v>
      </c>
      <c r="B45" t="s">
        <v>100</v>
      </c>
      <c r="C45" t="s">
        <v>393</v>
      </c>
      <c r="D45" t="s">
        <v>283</v>
      </c>
      <c r="E45" t="s">
        <v>284</v>
      </c>
      <c r="F45" t="s">
        <v>260</v>
      </c>
    </row>
    <row r="46" spans="1:6" x14ac:dyDescent="0.25">
      <c r="A46">
        <v>14070</v>
      </c>
      <c r="B46" t="s">
        <v>101</v>
      </c>
      <c r="C46" t="s">
        <v>393</v>
      </c>
      <c r="D46" t="s">
        <v>285</v>
      </c>
      <c r="E46" t="s">
        <v>286</v>
      </c>
      <c r="F46" t="s">
        <v>260</v>
      </c>
    </row>
    <row r="47" spans="1:6" x14ac:dyDescent="0.25">
      <c r="A47">
        <v>14070</v>
      </c>
      <c r="B47" t="s">
        <v>101</v>
      </c>
      <c r="C47" t="s">
        <v>393</v>
      </c>
      <c r="D47" t="s">
        <v>287</v>
      </c>
      <c r="E47" t="s">
        <v>288</v>
      </c>
      <c r="F47" t="s">
        <v>260</v>
      </c>
    </row>
    <row r="48" spans="1:6" x14ac:dyDescent="0.25">
      <c r="A48">
        <v>14106</v>
      </c>
      <c r="B48" t="s">
        <v>108</v>
      </c>
      <c r="C48" t="s">
        <v>393</v>
      </c>
      <c r="D48" t="s">
        <v>289</v>
      </c>
      <c r="E48" t="s">
        <v>290</v>
      </c>
      <c r="F48" t="s">
        <v>260</v>
      </c>
    </row>
    <row r="49" spans="1:6" x14ac:dyDescent="0.25">
      <c r="A49">
        <v>14110</v>
      </c>
      <c r="B49" t="s">
        <v>102</v>
      </c>
      <c r="C49" t="s">
        <v>393</v>
      </c>
      <c r="D49" t="s">
        <v>291</v>
      </c>
      <c r="E49" t="s">
        <v>292</v>
      </c>
      <c r="F49" t="s">
        <v>260</v>
      </c>
    </row>
    <row r="50" spans="1:6" x14ac:dyDescent="0.25">
      <c r="A50">
        <v>14110</v>
      </c>
      <c r="B50" t="s">
        <v>102</v>
      </c>
      <c r="C50" t="s">
        <v>393</v>
      </c>
      <c r="D50" t="s">
        <v>293</v>
      </c>
      <c r="E50" t="s">
        <v>294</v>
      </c>
      <c r="F50" t="s">
        <v>260</v>
      </c>
    </row>
    <row r="51" spans="1:6" x14ac:dyDescent="0.25">
      <c r="A51">
        <v>14110</v>
      </c>
      <c r="B51" t="s">
        <v>102</v>
      </c>
      <c r="C51" t="s">
        <v>393</v>
      </c>
      <c r="D51" t="s">
        <v>295</v>
      </c>
      <c r="E51" t="s">
        <v>296</v>
      </c>
      <c r="F51" t="s">
        <v>260</v>
      </c>
    </row>
    <row r="52" spans="1:6" x14ac:dyDescent="0.25">
      <c r="A52">
        <v>14117</v>
      </c>
      <c r="B52" t="s">
        <v>109</v>
      </c>
      <c r="C52" t="s">
        <v>393</v>
      </c>
      <c r="D52" t="s">
        <v>297</v>
      </c>
      <c r="E52" t="s">
        <v>298</v>
      </c>
      <c r="F52" t="s">
        <v>260</v>
      </c>
    </row>
    <row r="53" spans="1:6" x14ac:dyDescent="0.25">
      <c r="A53">
        <v>14117</v>
      </c>
      <c r="B53" t="s">
        <v>109</v>
      </c>
      <c r="C53" t="s">
        <v>393</v>
      </c>
      <c r="D53" t="s">
        <v>299</v>
      </c>
      <c r="E53" t="s">
        <v>300</v>
      </c>
      <c r="F53" t="s">
        <v>260</v>
      </c>
    </row>
    <row r="54" spans="1:6" x14ac:dyDescent="0.25">
      <c r="A54">
        <v>14198</v>
      </c>
      <c r="B54" t="s">
        <v>93</v>
      </c>
      <c r="C54" t="s">
        <v>393</v>
      </c>
      <c r="D54" t="s">
        <v>301</v>
      </c>
      <c r="E54" t="s">
        <v>302</v>
      </c>
      <c r="F54" t="s">
        <v>260</v>
      </c>
    </row>
    <row r="55" spans="1:6" x14ac:dyDescent="0.25">
      <c r="A55">
        <v>14203</v>
      </c>
      <c r="B55" t="s">
        <v>94</v>
      </c>
      <c r="C55" t="s">
        <v>393</v>
      </c>
      <c r="D55" t="s">
        <v>303</v>
      </c>
      <c r="E55" t="s">
        <v>304</v>
      </c>
      <c r="F55" t="s">
        <v>260</v>
      </c>
    </row>
    <row r="56" spans="1:6" x14ac:dyDescent="0.25">
      <c r="A56">
        <v>14225</v>
      </c>
      <c r="B56" t="s">
        <v>110</v>
      </c>
      <c r="C56" t="s">
        <v>393</v>
      </c>
      <c r="D56" t="s">
        <v>305</v>
      </c>
      <c r="E56" t="s">
        <v>306</v>
      </c>
      <c r="F56" t="s">
        <v>260</v>
      </c>
    </row>
    <row r="57" spans="1:6" x14ac:dyDescent="0.25">
      <c r="A57">
        <v>14225</v>
      </c>
      <c r="B57" t="s">
        <v>110</v>
      </c>
      <c r="C57" t="s">
        <v>393</v>
      </c>
      <c r="D57" t="s">
        <v>307</v>
      </c>
      <c r="E57" t="s">
        <v>308</v>
      </c>
      <c r="F57" t="s">
        <v>260</v>
      </c>
    </row>
    <row r="58" spans="1:6" x14ac:dyDescent="0.25">
      <c r="A58">
        <v>14225</v>
      </c>
      <c r="B58" t="s">
        <v>110</v>
      </c>
      <c r="C58" t="s">
        <v>393</v>
      </c>
      <c r="D58" t="s">
        <v>309</v>
      </c>
      <c r="E58" t="s">
        <v>310</v>
      </c>
      <c r="F58" t="s">
        <v>260</v>
      </c>
    </row>
    <row r="59" spans="1:6" x14ac:dyDescent="0.25">
      <c r="A59">
        <v>14225</v>
      </c>
      <c r="B59" t="s">
        <v>110</v>
      </c>
      <c r="C59" t="s">
        <v>393</v>
      </c>
      <c r="D59" t="s">
        <v>311</v>
      </c>
      <c r="E59" t="s">
        <v>312</v>
      </c>
      <c r="F59" t="s">
        <v>260</v>
      </c>
    </row>
    <row r="60" spans="1:6" x14ac:dyDescent="0.25">
      <c r="A60">
        <v>14227</v>
      </c>
      <c r="B60" t="s">
        <v>95</v>
      </c>
      <c r="C60" t="s">
        <v>393</v>
      </c>
      <c r="D60" t="s">
        <v>313</v>
      </c>
      <c r="E60" t="s">
        <v>314</v>
      </c>
      <c r="F60" t="s">
        <v>260</v>
      </c>
    </row>
    <row r="61" spans="1:6" x14ac:dyDescent="0.25">
      <c r="A61">
        <v>14227</v>
      </c>
      <c r="B61" t="s">
        <v>95</v>
      </c>
      <c r="C61" t="s">
        <v>393</v>
      </c>
      <c r="D61" t="s">
        <v>315</v>
      </c>
      <c r="E61" t="s">
        <v>316</v>
      </c>
      <c r="F61" t="s">
        <v>260</v>
      </c>
    </row>
    <row r="62" spans="1:6" x14ac:dyDescent="0.25">
      <c r="A62">
        <v>14227</v>
      </c>
      <c r="B62" t="s">
        <v>95</v>
      </c>
      <c r="C62" t="s">
        <v>393</v>
      </c>
      <c r="D62" t="s">
        <v>317</v>
      </c>
      <c r="E62" t="s">
        <v>318</v>
      </c>
      <c r="F62" t="s">
        <v>260</v>
      </c>
    </row>
    <row r="63" spans="1:6" x14ac:dyDescent="0.25">
      <c r="A63">
        <v>14229</v>
      </c>
      <c r="B63" t="s">
        <v>86</v>
      </c>
      <c r="C63" t="s">
        <v>393</v>
      </c>
      <c r="D63" t="s">
        <v>319</v>
      </c>
      <c r="E63" t="s">
        <v>320</v>
      </c>
      <c r="F63" t="s">
        <v>260</v>
      </c>
    </row>
    <row r="64" spans="1:6" x14ac:dyDescent="0.25">
      <c r="A64">
        <v>14229</v>
      </c>
      <c r="B64" t="s">
        <v>86</v>
      </c>
      <c r="C64" t="s">
        <v>393</v>
      </c>
      <c r="D64" t="s">
        <v>232</v>
      </c>
      <c r="E64" t="s">
        <v>233</v>
      </c>
      <c r="F64" t="s">
        <v>260</v>
      </c>
    </row>
    <row r="65" spans="1:6" x14ac:dyDescent="0.25">
      <c r="A65">
        <v>14229</v>
      </c>
      <c r="B65" t="s">
        <v>86</v>
      </c>
      <c r="C65" t="s">
        <v>393</v>
      </c>
      <c r="D65" t="s">
        <v>234</v>
      </c>
      <c r="E65" t="s">
        <v>235</v>
      </c>
      <c r="F65" t="s">
        <v>260</v>
      </c>
    </row>
    <row r="66" spans="1:6" x14ac:dyDescent="0.25">
      <c r="A66">
        <v>14229</v>
      </c>
      <c r="B66" t="s">
        <v>86</v>
      </c>
      <c r="C66" t="s">
        <v>393</v>
      </c>
      <c r="D66" t="s">
        <v>244</v>
      </c>
      <c r="E66" t="s">
        <v>245</v>
      </c>
      <c r="F66" t="s">
        <v>260</v>
      </c>
    </row>
    <row r="67" spans="1:6" x14ac:dyDescent="0.25">
      <c r="A67">
        <v>14229</v>
      </c>
      <c r="B67" t="s">
        <v>86</v>
      </c>
      <c r="C67" t="s">
        <v>393</v>
      </c>
      <c r="D67" t="s">
        <v>321</v>
      </c>
      <c r="E67" t="s">
        <v>322</v>
      </c>
      <c r="F67" t="s">
        <v>260</v>
      </c>
    </row>
    <row r="68" spans="1:6" x14ac:dyDescent="0.25">
      <c r="A68">
        <v>14229</v>
      </c>
      <c r="B68" t="s">
        <v>86</v>
      </c>
      <c r="C68" t="s">
        <v>393</v>
      </c>
      <c r="D68" t="s">
        <v>321</v>
      </c>
      <c r="E68" t="s">
        <v>322</v>
      </c>
      <c r="F68" t="s">
        <v>260</v>
      </c>
    </row>
    <row r="69" spans="1:6" x14ac:dyDescent="0.25">
      <c r="A69">
        <v>14229</v>
      </c>
      <c r="B69" t="s">
        <v>86</v>
      </c>
      <c r="C69" t="s">
        <v>393</v>
      </c>
      <c r="D69" t="s">
        <v>323</v>
      </c>
      <c r="E69" t="s">
        <v>324</v>
      </c>
      <c r="F69" t="s">
        <v>260</v>
      </c>
    </row>
    <row r="70" spans="1:6" x14ac:dyDescent="0.25">
      <c r="A70">
        <v>14229</v>
      </c>
      <c r="B70" t="s">
        <v>86</v>
      </c>
      <c r="C70" t="s">
        <v>393</v>
      </c>
      <c r="D70" t="s">
        <v>325</v>
      </c>
      <c r="E70" t="s">
        <v>326</v>
      </c>
      <c r="F70" t="s">
        <v>260</v>
      </c>
    </row>
    <row r="71" spans="1:6" x14ac:dyDescent="0.25">
      <c r="A71">
        <v>14229</v>
      </c>
      <c r="B71" t="s">
        <v>86</v>
      </c>
      <c r="C71" t="s">
        <v>393</v>
      </c>
      <c r="D71" t="s">
        <v>325</v>
      </c>
      <c r="E71" t="s">
        <v>326</v>
      </c>
      <c r="F71" t="s">
        <v>260</v>
      </c>
    </row>
    <row r="72" spans="1:6" x14ac:dyDescent="0.25">
      <c r="A72">
        <v>14229</v>
      </c>
      <c r="B72" t="s">
        <v>86</v>
      </c>
      <c r="C72" t="s">
        <v>393</v>
      </c>
      <c r="D72" t="s">
        <v>222</v>
      </c>
      <c r="E72" t="s">
        <v>223</v>
      </c>
      <c r="F72" t="s">
        <v>260</v>
      </c>
    </row>
    <row r="73" spans="1:6" x14ac:dyDescent="0.25">
      <c r="A73">
        <v>14229</v>
      </c>
      <c r="B73" t="s">
        <v>86</v>
      </c>
      <c r="C73" t="s">
        <v>393</v>
      </c>
      <c r="D73" t="s">
        <v>327</v>
      </c>
      <c r="E73" t="s">
        <v>328</v>
      </c>
      <c r="F73" t="s">
        <v>260</v>
      </c>
    </row>
    <row r="74" spans="1:6" x14ac:dyDescent="0.25">
      <c r="A74">
        <v>14229</v>
      </c>
      <c r="B74" t="s">
        <v>86</v>
      </c>
      <c r="C74" t="s">
        <v>393</v>
      </c>
      <c r="D74" t="s">
        <v>329</v>
      </c>
      <c r="E74" t="s">
        <v>330</v>
      </c>
      <c r="F74" t="s">
        <v>260</v>
      </c>
    </row>
    <row r="75" spans="1:6" x14ac:dyDescent="0.25">
      <c r="A75">
        <v>14229</v>
      </c>
      <c r="B75" t="s">
        <v>86</v>
      </c>
      <c r="C75" t="s">
        <v>393</v>
      </c>
      <c r="D75" t="s">
        <v>331</v>
      </c>
      <c r="E75" t="s">
        <v>332</v>
      </c>
      <c r="F75" t="s">
        <v>260</v>
      </c>
    </row>
    <row r="76" spans="1:6" x14ac:dyDescent="0.25">
      <c r="A76">
        <v>14306</v>
      </c>
      <c r="B76" t="s">
        <v>96</v>
      </c>
      <c r="C76" t="s">
        <v>393</v>
      </c>
      <c r="D76" t="s">
        <v>333</v>
      </c>
      <c r="E76" t="s">
        <v>334</v>
      </c>
      <c r="F76" t="s">
        <v>260</v>
      </c>
    </row>
    <row r="77" spans="1:6" x14ac:dyDescent="0.25">
      <c r="A77">
        <v>14306</v>
      </c>
      <c r="B77" t="s">
        <v>96</v>
      </c>
      <c r="C77" t="s">
        <v>393</v>
      </c>
      <c r="D77" t="s">
        <v>220</v>
      </c>
      <c r="E77" t="s">
        <v>221</v>
      </c>
      <c r="F77" t="s">
        <v>260</v>
      </c>
    </row>
    <row r="78" spans="1:6" x14ac:dyDescent="0.25">
      <c r="A78">
        <v>14306</v>
      </c>
      <c r="B78" t="s">
        <v>96</v>
      </c>
      <c r="C78" t="s">
        <v>393</v>
      </c>
      <c r="D78" t="s">
        <v>206</v>
      </c>
      <c r="E78" t="s">
        <v>207</v>
      </c>
      <c r="F78" t="s">
        <v>260</v>
      </c>
    </row>
    <row r="79" spans="1:6" x14ac:dyDescent="0.25">
      <c r="A79">
        <v>14305</v>
      </c>
      <c r="B79" t="s">
        <v>88</v>
      </c>
      <c r="C79" t="s">
        <v>393</v>
      </c>
      <c r="D79" t="s">
        <v>335</v>
      </c>
      <c r="E79" t="s">
        <v>336</v>
      </c>
      <c r="F79" t="s">
        <v>260</v>
      </c>
    </row>
    <row r="80" spans="1:6" x14ac:dyDescent="0.25">
      <c r="A80">
        <v>14305</v>
      </c>
      <c r="B80" t="s">
        <v>88</v>
      </c>
      <c r="C80" t="s">
        <v>393</v>
      </c>
      <c r="D80" t="s">
        <v>337</v>
      </c>
      <c r="E80" t="s">
        <v>338</v>
      </c>
      <c r="F80" t="s">
        <v>260</v>
      </c>
    </row>
    <row r="81" spans="1:6" x14ac:dyDescent="0.25">
      <c r="A81">
        <v>14305</v>
      </c>
      <c r="B81" t="s">
        <v>88</v>
      </c>
      <c r="C81" t="s">
        <v>393</v>
      </c>
      <c r="D81" t="s">
        <v>339</v>
      </c>
      <c r="E81" t="s">
        <v>340</v>
      </c>
      <c r="F81" t="s">
        <v>260</v>
      </c>
    </row>
    <row r="82" spans="1:6" x14ac:dyDescent="0.25">
      <c r="A82">
        <v>14305</v>
      </c>
      <c r="B82" t="s">
        <v>88</v>
      </c>
      <c r="C82" t="s">
        <v>393</v>
      </c>
      <c r="D82" t="s">
        <v>341</v>
      </c>
      <c r="E82" t="s">
        <v>342</v>
      </c>
      <c r="F82" t="s">
        <v>260</v>
      </c>
    </row>
    <row r="83" spans="1:6" x14ac:dyDescent="0.25">
      <c r="A83">
        <v>14305</v>
      </c>
      <c r="B83" t="s">
        <v>88</v>
      </c>
      <c r="C83" t="s">
        <v>393</v>
      </c>
      <c r="D83" t="s">
        <v>343</v>
      </c>
      <c r="E83" t="s">
        <v>344</v>
      </c>
      <c r="F83" t="s">
        <v>260</v>
      </c>
    </row>
    <row r="84" spans="1:6" x14ac:dyDescent="0.25">
      <c r="A84">
        <v>14305</v>
      </c>
      <c r="B84" t="s">
        <v>88</v>
      </c>
      <c r="C84" t="s">
        <v>393</v>
      </c>
      <c r="D84" t="s">
        <v>208</v>
      </c>
      <c r="E84" t="s">
        <v>209</v>
      </c>
      <c r="F84" t="s">
        <v>260</v>
      </c>
    </row>
    <row r="85" spans="1:6" x14ac:dyDescent="0.25">
      <c r="A85">
        <v>14305</v>
      </c>
      <c r="B85" t="s">
        <v>88</v>
      </c>
      <c r="C85" t="s">
        <v>393</v>
      </c>
      <c r="D85" t="s">
        <v>210</v>
      </c>
      <c r="E85" t="s">
        <v>211</v>
      </c>
      <c r="F85" t="s">
        <v>260</v>
      </c>
    </row>
    <row r="86" spans="1:6" x14ac:dyDescent="0.25">
      <c r="A86">
        <v>14308</v>
      </c>
      <c r="B86" t="s">
        <v>97</v>
      </c>
      <c r="C86" t="s">
        <v>393</v>
      </c>
      <c r="D86" t="s">
        <v>236</v>
      </c>
      <c r="E86" t="s">
        <v>237</v>
      </c>
      <c r="F86" t="s">
        <v>260</v>
      </c>
    </row>
    <row r="87" spans="1:6" x14ac:dyDescent="0.25">
      <c r="A87">
        <v>14308</v>
      </c>
      <c r="B87" t="s">
        <v>97</v>
      </c>
      <c r="C87" t="s">
        <v>393</v>
      </c>
      <c r="D87" t="s">
        <v>236</v>
      </c>
      <c r="E87" t="s">
        <v>237</v>
      </c>
      <c r="F87" t="s">
        <v>260</v>
      </c>
    </row>
    <row r="88" spans="1:6" x14ac:dyDescent="0.25">
      <c r="A88">
        <v>14308</v>
      </c>
      <c r="B88" t="s">
        <v>97</v>
      </c>
      <c r="C88" t="s">
        <v>393</v>
      </c>
      <c r="D88" t="s">
        <v>240</v>
      </c>
      <c r="E88" t="s">
        <v>241</v>
      </c>
      <c r="F88" t="s">
        <v>260</v>
      </c>
    </row>
    <row r="89" spans="1:6" x14ac:dyDescent="0.25">
      <c r="A89">
        <v>14316</v>
      </c>
      <c r="B89" t="s">
        <v>98</v>
      </c>
      <c r="C89" t="s">
        <v>393</v>
      </c>
      <c r="D89" t="s">
        <v>345</v>
      </c>
      <c r="E89" t="s">
        <v>346</v>
      </c>
      <c r="F89" t="s">
        <v>260</v>
      </c>
    </row>
    <row r="90" spans="1:6" x14ac:dyDescent="0.25">
      <c r="A90">
        <v>14316</v>
      </c>
      <c r="B90" t="s">
        <v>98</v>
      </c>
      <c r="C90" t="s">
        <v>393</v>
      </c>
      <c r="D90" t="s">
        <v>347</v>
      </c>
      <c r="E90" t="s">
        <v>348</v>
      </c>
      <c r="F90" t="s">
        <v>260</v>
      </c>
    </row>
    <row r="91" spans="1:6" x14ac:dyDescent="0.25">
      <c r="A91">
        <v>14316</v>
      </c>
      <c r="B91" t="s">
        <v>98</v>
      </c>
      <c r="C91" t="s">
        <v>393</v>
      </c>
      <c r="D91" t="s">
        <v>349</v>
      </c>
      <c r="E91" t="s">
        <v>350</v>
      </c>
      <c r="F91" t="s">
        <v>260</v>
      </c>
    </row>
    <row r="92" spans="1:6" x14ac:dyDescent="0.25">
      <c r="A92">
        <v>14316</v>
      </c>
      <c r="B92" t="s">
        <v>98</v>
      </c>
      <c r="C92" t="s">
        <v>393</v>
      </c>
      <c r="D92" t="s">
        <v>351</v>
      </c>
      <c r="E92" t="s">
        <v>352</v>
      </c>
      <c r="F92" t="s">
        <v>260</v>
      </c>
    </row>
    <row r="93" spans="1:6" x14ac:dyDescent="0.25">
      <c r="A93">
        <v>14316</v>
      </c>
      <c r="B93" t="s">
        <v>98</v>
      </c>
      <c r="C93" t="s">
        <v>393</v>
      </c>
      <c r="D93" t="s">
        <v>353</v>
      </c>
      <c r="E93" t="s">
        <v>354</v>
      </c>
      <c r="F93" t="s">
        <v>260</v>
      </c>
    </row>
    <row r="94" spans="1:6" x14ac:dyDescent="0.25">
      <c r="A94">
        <v>14316</v>
      </c>
      <c r="B94" t="s">
        <v>98</v>
      </c>
      <c r="C94" t="s">
        <v>393</v>
      </c>
      <c r="D94" t="s">
        <v>320</v>
      </c>
      <c r="E94" t="s">
        <v>320</v>
      </c>
      <c r="F94" t="s">
        <v>260</v>
      </c>
    </row>
    <row r="95" spans="1:6" x14ac:dyDescent="0.25">
      <c r="A95">
        <v>14316</v>
      </c>
      <c r="B95" t="s">
        <v>98</v>
      </c>
      <c r="C95" t="s">
        <v>393</v>
      </c>
      <c r="D95" t="s">
        <v>320</v>
      </c>
      <c r="E95" t="s">
        <v>320</v>
      </c>
      <c r="F95" t="s">
        <v>260</v>
      </c>
    </row>
    <row r="96" spans="1:6" x14ac:dyDescent="0.25">
      <c r="A96">
        <v>14329</v>
      </c>
      <c r="B96" t="s">
        <v>111</v>
      </c>
      <c r="C96" t="s">
        <v>393</v>
      </c>
      <c r="D96" t="s">
        <v>355</v>
      </c>
      <c r="E96" t="s">
        <v>356</v>
      </c>
      <c r="F96" t="s">
        <v>260</v>
      </c>
    </row>
    <row r="97" spans="1:6" x14ac:dyDescent="0.25">
      <c r="A97">
        <v>14338</v>
      </c>
      <c r="B97" t="s">
        <v>112</v>
      </c>
      <c r="C97" t="s">
        <v>393</v>
      </c>
      <c r="D97" t="s">
        <v>357</v>
      </c>
      <c r="E97" t="s">
        <v>358</v>
      </c>
      <c r="F97" t="s">
        <v>260</v>
      </c>
    </row>
    <row r="98" spans="1:6" x14ac:dyDescent="0.25">
      <c r="A98">
        <v>14338</v>
      </c>
      <c r="B98" t="s">
        <v>112</v>
      </c>
      <c r="C98" t="s">
        <v>393</v>
      </c>
      <c r="D98" t="s">
        <v>359</v>
      </c>
      <c r="E98" t="s">
        <v>360</v>
      </c>
      <c r="F98" t="s">
        <v>260</v>
      </c>
    </row>
    <row r="99" spans="1:6" x14ac:dyDescent="0.25">
      <c r="A99">
        <v>14338</v>
      </c>
      <c r="B99" t="s">
        <v>112</v>
      </c>
      <c r="C99" t="s">
        <v>393</v>
      </c>
      <c r="D99" t="s">
        <v>359</v>
      </c>
      <c r="E99" t="s">
        <v>360</v>
      </c>
      <c r="F99" t="s">
        <v>260</v>
      </c>
    </row>
    <row r="100" spans="1:6" x14ac:dyDescent="0.25">
      <c r="A100">
        <v>14338</v>
      </c>
      <c r="B100" t="s">
        <v>112</v>
      </c>
      <c r="C100" t="s">
        <v>393</v>
      </c>
      <c r="D100" t="s">
        <v>361</v>
      </c>
      <c r="E100" t="s">
        <v>362</v>
      </c>
      <c r="F100" t="s">
        <v>260</v>
      </c>
    </row>
    <row r="101" spans="1:6" x14ac:dyDescent="0.25">
      <c r="A101">
        <v>14338</v>
      </c>
      <c r="B101" t="s">
        <v>112</v>
      </c>
      <c r="C101" t="s">
        <v>393</v>
      </c>
      <c r="D101" t="s">
        <v>246</v>
      </c>
      <c r="E101" t="s">
        <v>247</v>
      </c>
      <c r="F101" t="s">
        <v>260</v>
      </c>
    </row>
    <row r="102" spans="1:6" x14ac:dyDescent="0.25">
      <c r="A102">
        <v>14338</v>
      </c>
      <c r="B102" t="s">
        <v>112</v>
      </c>
      <c r="C102" t="s">
        <v>393</v>
      </c>
      <c r="D102" t="s">
        <v>248</v>
      </c>
      <c r="E102" t="s">
        <v>249</v>
      </c>
      <c r="F102" t="s">
        <v>260</v>
      </c>
    </row>
    <row r="103" spans="1:6" x14ac:dyDescent="0.25">
      <c r="A103">
        <v>14338</v>
      </c>
      <c r="B103" t="s">
        <v>112</v>
      </c>
      <c r="C103" t="s">
        <v>393</v>
      </c>
      <c r="D103" t="s">
        <v>246</v>
      </c>
      <c r="E103" t="s">
        <v>247</v>
      </c>
      <c r="F103" t="s">
        <v>260</v>
      </c>
    </row>
    <row r="104" spans="1:6" x14ac:dyDescent="0.25">
      <c r="A104">
        <v>14338</v>
      </c>
      <c r="B104" t="s">
        <v>112</v>
      </c>
      <c r="C104" t="s">
        <v>393</v>
      </c>
      <c r="D104" t="s">
        <v>363</v>
      </c>
      <c r="E104" t="s">
        <v>364</v>
      </c>
      <c r="F104" t="s">
        <v>260</v>
      </c>
    </row>
    <row r="105" spans="1:6" x14ac:dyDescent="0.25">
      <c r="A105">
        <v>14338</v>
      </c>
      <c r="B105" t="s">
        <v>112</v>
      </c>
      <c r="C105" t="s">
        <v>393</v>
      </c>
      <c r="D105" t="s">
        <v>365</v>
      </c>
      <c r="E105" t="s">
        <v>366</v>
      </c>
      <c r="F105" t="s">
        <v>260</v>
      </c>
    </row>
    <row r="106" spans="1:6" x14ac:dyDescent="0.25">
      <c r="A106">
        <v>14338</v>
      </c>
      <c r="B106" t="s">
        <v>112</v>
      </c>
      <c r="C106" t="s">
        <v>393</v>
      </c>
      <c r="D106" t="s">
        <v>212</v>
      </c>
      <c r="E106" t="s">
        <v>213</v>
      </c>
      <c r="F106" t="s">
        <v>260</v>
      </c>
    </row>
    <row r="107" spans="1:6" x14ac:dyDescent="0.25">
      <c r="A107">
        <v>14338</v>
      </c>
      <c r="B107" t="s">
        <v>112</v>
      </c>
      <c r="C107" t="s">
        <v>393</v>
      </c>
      <c r="D107" t="s">
        <v>212</v>
      </c>
      <c r="E107" t="s">
        <v>213</v>
      </c>
      <c r="F107" t="s">
        <v>260</v>
      </c>
    </row>
    <row r="108" spans="1:6" x14ac:dyDescent="0.25">
      <c r="A108">
        <v>14338</v>
      </c>
      <c r="B108" t="s">
        <v>112</v>
      </c>
      <c r="C108" t="s">
        <v>393</v>
      </c>
      <c r="D108" t="s">
        <v>250</v>
      </c>
      <c r="E108" t="s">
        <v>251</v>
      </c>
      <c r="F108" t="s">
        <v>260</v>
      </c>
    </row>
    <row r="109" spans="1:6" x14ac:dyDescent="0.25">
      <c r="A109">
        <v>14338</v>
      </c>
      <c r="B109" t="s">
        <v>112</v>
      </c>
      <c r="C109" t="s">
        <v>393</v>
      </c>
      <c r="D109" t="s">
        <v>252</v>
      </c>
      <c r="E109" t="s">
        <v>253</v>
      </c>
      <c r="F109" t="s">
        <v>260</v>
      </c>
    </row>
    <row r="110" spans="1:6" x14ac:dyDescent="0.25">
      <c r="A110">
        <v>14338</v>
      </c>
      <c r="B110" t="s">
        <v>112</v>
      </c>
      <c r="C110" t="s">
        <v>393</v>
      </c>
      <c r="D110" t="s">
        <v>252</v>
      </c>
      <c r="E110" t="s">
        <v>253</v>
      </c>
      <c r="F110" t="s">
        <v>260</v>
      </c>
    </row>
    <row r="111" spans="1:6" x14ac:dyDescent="0.25">
      <c r="A111">
        <v>14409</v>
      </c>
      <c r="B111" t="s">
        <v>113</v>
      </c>
      <c r="C111" t="s">
        <v>393</v>
      </c>
      <c r="D111" t="s">
        <v>367</v>
      </c>
      <c r="E111" t="s">
        <v>368</v>
      </c>
      <c r="F111" t="s">
        <v>260</v>
      </c>
    </row>
    <row r="112" spans="1:6" x14ac:dyDescent="0.25">
      <c r="A112">
        <v>14530</v>
      </c>
      <c r="B112" t="s">
        <v>114</v>
      </c>
      <c r="C112" t="s">
        <v>393</v>
      </c>
      <c r="D112" t="s">
        <v>369</v>
      </c>
      <c r="E112" t="s">
        <v>370</v>
      </c>
      <c r="F112" t="s">
        <v>260</v>
      </c>
    </row>
    <row r="113" spans="1:6" x14ac:dyDescent="0.25">
      <c r="A113">
        <v>14550</v>
      </c>
      <c r="B113" t="s">
        <v>89</v>
      </c>
      <c r="C113" t="s">
        <v>393</v>
      </c>
      <c r="D113" t="s">
        <v>371</v>
      </c>
      <c r="E113" t="s">
        <v>372</v>
      </c>
      <c r="F113" t="s">
        <v>260</v>
      </c>
    </row>
    <row r="114" spans="1:6" x14ac:dyDescent="0.25">
      <c r="A114">
        <v>14550</v>
      </c>
      <c r="B114" t="s">
        <v>89</v>
      </c>
      <c r="C114" t="s">
        <v>393</v>
      </c>
      <c r="D114" t="s">
        <v>373</v>
      </c>
      <c r="E114" t="s">
        <v>374</v>
      </c>
      <c r="F114" t="s">
        <v>260</v>
      </c>
    </row>
    <row r="115" spans="1:6" x14ac:dyDescent="0.25">
      <c r="A115">
        <v>14598</v>
      </c>
      <c r="B115" t="s">
        <v>104</v>
      </c>
      <c r="C115" t="s">
        <v>393</v>
      </c>
      <c r="D115" t="s">
        <v>375</v>
      </c>
      <c r="E115" t="s">
        <v>376</v>
      </c>
      <c r="F115" t="s">
        <v>260</v>
      </c>
    </row>
    <row r="116" spans="1:6" x14ac:dyDescent="0.25">
      <c r="A116">
        <v>14598</v>
      </c>
      <c r="B116" t="s">
        <v>104</v>
      </c>
      <c r="C116" t="s">
        <v>393</v>
      </c>
      <c r="D116" t="s">
        <v>377</v>
      </c>
      <c r="E116" t="s">
        <v>378</v>
      </c>
      <c r="F116" t="s">
        <v>260</v>
      </c>
    </row>
    <row r="117" spans="1:6" x14ac:dyDescent="0.25">
      <c r="A117">
        <v>14598</v>
      </c>
      <c r="B117" t="s">
        <v>104</v>
      </c>
      <c r="C117" t="s">
        <v>393</v>
      </c>
      <c r="D117" t="s">
        <v>320</v>
      </c>
      <c r="E117" t="s">
        <v>320</v>
      </c>
      <c r="F117" t="s">
        <v>260</v>
      </c>
    </row>
    <row r="118" spans="1:6" x14ac:dyDescent="0.25">
      <c r="A118">
        <v>14606</v>
      </c>
      <c r="B118" t="s">
        <v>115</v>
      </c>
      <c r="C118" t="s">
        <v>393</v>
      </c>
      <c r="D118" t="s">
        <v>379</v>
      </c>
      <c r="E118" t="s">
        <v>380</v>
      </c>
      <c r="F118" t="s">
        <v>260</v>
      </c>
    </row>
    <row r="119" spans="1:6" x14ac:dyDescent="0.25">
      <c r="A119">
        <v>14606</v>
      </c>
      <c r="B119" t="s">
        <v>115</v>
      </c>
      <c r="C119" t="s">
        <v>393</v>
      </c>
      <c r="D119" t="s">
        <v>377</v>
      </c>
      <c r="E119" t="s">
        <v>378</v>
      </c>
      <c r="F119" t="s">
        <v>260</v>
      </c>
    </row>
    <row r="120" spans="1:6" x14ac:dyDescent="0.25">
      <c r="A120">
        <v>14657</v>
      </c>
      <c r="B120" t="s">
        <v>134</v>
      </c>
      <c r="C120" t="s">
        <v>393</v>
      </c>
      <c r="D120" t="s">
        <v>320</v>
      </c>
      <c r="E120" t="s">
        <v>320</v>
      </c>
      <c r="F120" t="s">
        <v>260</v>
      </c>
    </row>
    <row r="121" spans="1:6" x14ac:dyDescent="0.25">
      <c r="A121">
        <v>14665</v>
      </c>
      <c r="B121" t="s">
        <v>90</v>
      </c>
      <c r="C121" t="s">
        <v>393</v>
      </c>
      <c r="D121" t="s">
        <v>319</v>
      </c>
      <c r="E121" t="s">
        <v>320</v>
      </c>
      <c r="F121" t="s">
        <v>260</v>
      </c>
    </row>
    <row r="122" spans="1:6" x14ac:dyDescent="0.25">
      <c r="A122">
        <v>14665</v>
      </c>
      <c r="B122" t="s">
        <v>90</v>
      </c>
      <c r="C122" t="s">
        <v>393</v>
      </c>
      <c r="D122" t="s">
        <v>230</v>
      </c>
      <c r="E122" t="s">
        <v>231</v>
      </c>
      <c r="F122" t="s">
        <v>260</v>
      </c>
    </row>
    <row r="123" spans="1:6" x14ac:dyDescent="0.25">
      <c r="A123">
        <v>14665</v>
      </c>
      <c r="B123" t="s">
        <v>90</v>
      </c>
      <c r="C123" t="s">
        <v>393</v>
      </c>
      <c r="D123" t="s">
        <v>381</v>
      </c>
      <c r="E123" t="s">
        <v>382</v>
      </c>
      <c r="F123" t="s">
        <v>260</v>
      </c>
    </row>
    <row r="124" spans="1:6" x14ac:dyDescent="0.25">
      <c r="A124">
        <v>14724</v>
      </c>
      <c r="B124" t="s">
        <v>117</v>
      </c>
      <c r="C124" t="s">
        <v>393</v>
      </c>
      <c r="D124" t="s">
        <v>383</v>
      </c>
      <c r="E124" t="s">
        <v>384</v>
      </c>
      <c r="F124" t="s">
        <v>260</v>
      </c>
    </row>
    <row r="125" spans="1:6" x14ac:dyDescent="0.25">
      <c r="A125">
        <v>14724</v>
      </c>
      <c r="B125" t="s">
        <v>117</v>
      </c>
      <c r="C125" t="s">
        <v>393</v>
      </c>
      <c r="D125" t="s">
        <v>379</v>
      </c>
      <c r="E125" t="s">
        <v>380</v>
      </c>
      <c r="F125" t="s">
        <v>260</v>
      </c>
    </row>
    <row r="126" spans="1:6" x14ac:dyDescent="0.25">
      <c r="A126">
        <v>14724</v>
      </c>
      <c r="B126" t="s">
        <v>117</v>
      </c>
      <c r="C126" t="s">
        <v>393</v>
      </c>
      <c r="D126" t="s">
        <v>385</v>
      </c>
      <c r="E126" t="s">
        <v>386</v>
      </c>
      <c r="F126" t="s">
        <v>260</v>
      </c>
    </row>
    <row r="127" spans="1:6" x14ac:dyDescent="0.25">
      <c r="A127">
        <v>14724</v>
      </c>
      <c r="B127" t="s">
        <v>117</v>
      </c>
      <c r="C127" t="s">
        <v>393</v>
      </c>
      <c r="D127" t="s">
        <v>387</v>
      </c>
      <c r="E127" t="s">
        <v>388</v>
      </c>
      <c r="F127" t="s">
        <v>260</v>
      </c>
    </row>
    <row r="128" spans="1:6" x14ac:dyDescent="0.25">
      <c r="A128">
        <v>14724</v>
      </c>
      <c r="B128" t="s">
        <v>117</v>
      </c>
      <c r="C128" t="s">
        <v>393</v>
      </c>
      <c r="D128" t="s">
        <v>238</v>
      </c>
      <c r="E128" t="s">
        <v>239</v>
      </c>
      <c r="F128" t="s">
        <v>260</v>
      </c>
    </row>
    <row r="129" spans="1:6" x14ac:dyDescent="0.25">
      <c r="A129">
        <v>14724</v>
      </c>
      <c r="B129" t="s">
        <v>117</v>
      </c>
      <c r="C129" t="s">
        <v>393</v>
      </c>
      <c r="D129" t="s">
        <v>254</v>
      </c>
      <c r="E129" t="s">
        <v>255</v>
      </c>
      <c r="F129" t="s">
        <v>260</v>
      </c>
    </row>
    <row r="130" spans="1:6" x14ac:dyDescent="0.25">
      <c r="A130">
        <v>14724</v>
      </c>
      <c r="B130" t="s">
        <v>117</v>
      </c>
      <c r="C130" t="s">
        <v>393</v>
      </c>
      <c r="D130" t="s">
        <v>389</v>
      </c>
      <c r="E130" t="s">
        <v>390</v>
      </c>
      <c r="F130" t="s">
        <v>260</v>
      </c>
    </row>
    <row r="131" spans="1:6" x14ac:dyDescent="0.25">
      <c r="A131">
        <v>14724</v>
      </c>
      <c r="B131" t="s">
        <v>117</v>
      </c>
      <c r="C131" t="s">
        <v>393</v>
      </c>
      <c r="D131" t="s">
        <v>242</v>
      </c>
      <c r="E131" t="s">
        <v>243</v>
      </c>
      <c r="F131" t="s">
        <v>260</v>
      </c>
    </row>
    <row r="132" spans="1:6" x14ac:dyDescent="0.25">
      <c r="A132">
        <v>14743</v>
      </c>
      <c r="B132" t="s">
        <v>136</v>
      </c>
      <c r="C132" t="s">
        <v>393</v>
      </c>
      <c r="D132" t="s">
        <v>320</v>
      </c>
      <c r="E132" t="s">
        <v>320</v>
      </c>
      <c r="F132" t="s">
        <v>260</v>
      </c>
    </row>
    <row r="133" spans="1:6" x14ac:dyDescent="0.25">
      <c r="A133">
        <v>14743</v>
      </c>
      <c r="B133" t="s">
        <v>136</v>
      </c>
      <c r="C133" t="s">
        <v>393</v>
      </c>
      <c r="D133" t="s">
        <v>391</v>
      </c>
      <c r="E133" t="s">
        <v>392</v>
      </c>
      <c r="F133" t="s">
        <v>260</v>
      </c>
    </row>
    <row r="134" spans="1:6" x14ac:dyDescent="0.25">
      <c r="A134">
        <v>14743</v>
      </c>
      <c r="B134" t="s">
        <v>136</v>
      </c>
      <c r="C134" t="s">
        <v>393</v>
      </c>
      <c r="D134" t="s">
        <v>224</v>
      </c>
      <c r="E134" t="s">
        <v>225</v>
      </c>
      <c r="F134" t="s">
        <v>260</v>
      </c>
    </row>
    <row r="135" spans="1:6" x14ac:dyDescent="0.25">
      <c r="A135">
        <v>14743</v>
      </c>
      <c r="B135" t="s">
        <v>136</v>
      </c>
      <c r="C135" t="s">
        <v>393</v>
      </c>
      <c r="D135" t="s">
        <v>226</v>
      </c>
      <c r="E135" t="s">
        <v>227</v>
      </c>
      <c r="F135" t="s">
        <v>260</v>
      </c>
    </row>
    <row r="136" spans="1:6" x14ac:dyDescent="0.25">
      <c r="A136">
        <v>14743</v>
      </c>
      <c r="B136" t="s">
        <v>136</v>
      </c>
      <c r="C136" t="s">
        <v>393</v>
      </c>
      <c r="D136" t="s">
        <v>228</v>
      </c>
      <c r="E136" t="s">
        <v>229</v>
      </c>
      <c r="F136" t="s">
        <v>260</v>
      </c>
    </row>
    <row r="137" spans="1:6" x14ac:dyDescent="0.25">
      <c r="A137">
        <v>14743</v>
      </c>
      <c r="B137" t="s">
        <v>136</v>
      </c>
      <c r="C137" t="s">
        <v>393</v>
      </c>
      <c r="D137" t="s">
        <v>320</v>
      </c>
      <c r="E137" t="s">
        <v>320</v>
      </c>
      <c r="F137" t="s">
        <v>260</v>
      </c>
    </row>
    <row r="138" spans="1:6" x14ac:dyDescent="0.25">
      <c r="A138">
        <v>14743</v>
      </c>
      <c r="B138" t="s">
        <v>136</v>
      </c>
      <c r="C138" t="s">
        <v>393</v>
      </c>
      <c r="D138" t="s">
        <v>320</v>
      </c>
      <c r="E138" t="s">
        <v>320</v>
      </c>
      <c r="F138" t="s">
        <v>260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9"/>
  <sheetViews>
    <sheetView tabSelected="1" topLeftCell="A107" zoomScale="85" zoomScaleNormal="85" workbookViewId="0">
      <selection activeCell="K127" sqref="K127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89" t="s">
        <v>394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 s="20">
        <v>14009</v>
      </c>
      <c r="B3" s="20" t="s">
        <v>105</v>
      </c>
      <c r="C3" s="20" t="s">
        <v>91</v>
      </c>
      <c r="D3" s="20" t="s">
        <v>196</v>
      </c>
      <c r="E3" s="20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 s="20">
        <v>14227</v>
      </c>
      <c r="B4" s="20" t="s">
        <v>95</v>
      </c>
      <c r="C4" s="20" t="s">
        <v>91</v>
      </c>
      <c r="D4" s="20" t="s">
        <v>198</v>
      </c>
      <c r="E4" s="20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 s="20">
        <v>14227</v>
      </c>
      <c r="B5" s="20" t="s">
        <v>95</v>
      </c>
      <c r="C5" s="20" t="s">
        <v>91</v>
      </c>
      <c r="D5" s="20" t="s">
        <v>200</v>
      </c>
      <c r="E5" s="20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 s="20">
        <v>14524</v>
      </c>
      <c r="B6" s="20" t="s">
        <v>103</v>
      </c>
      <c r="C6" s="20" t="s">
        <v>91</v>
      </c>
      <c r="D6" s="20" t="s">
        <v>202</v>
      </c>
      <c r="E6" s="20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 s="20">
        <v>14665</v>
      </c>
      <c r="B7" s="20" t="s">
        <v>90</v>
      </c>
      <c r="C7" s="20" t="s">
        <v>91</v>
      </c>
      <c r="D7" s="20" t="s">
        <v>204</v>
      </c>
      <c r="E7" s="20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 s="20">
        <v>14009</v>
      </c>
      <c r="B8" s="20" t="s">
        <v>105</v>
      </c>
      <c r="C8" s="20" t="s">
        <v>87</v>
      </c>
      <c r="D8" s="20" t="s">
        <v>150</v>
      </c>
      <c r="E8" s="20" t="s">
        <v>151</v>
      </c>
      <c r="F8" s="21" t="str">
        <f t="shared" si="0"/>
        <v>Voir sur Maps</v>
      </c>
      <c r="G8" s="22">
        <f>+VLOOKUP(TEXT(Tableau1[[#This Row],[Code INSEE]],"00000"),'[1]03_Déploiement_Prévu'!$A$3:$T$40,20,FALSE)</f>
        <v>4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 s="20">
        <v>14009</v>
      </c>
      <c r="B9" s="20" t="s">
        <v>105</v>
      </c>
      <c r="C9" s="20" t="s">
        <v>87</v>
      </c>
      <c r="D9" s="20" t="s">
        <v>152</v>
      </c>
      <c r="E9" s="20" t="s">
        <v>153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 s="20">
        <v>14024</v>
      </c>
      <c r="B10" s="20" t="s">
        <v>106</v>
      </c>
      <c r="C10" s="20" t="s">
        <v>87</v>
      </c>
      <c r="D10" s="20" t="s">
        <v>154</v>
      </c>
      <c r="E10" s="20" t="s">
        <v>155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 s="20">
        <v>14046</v>
      </c>
      <c r="B11" s="20" t="s">
        <v>107</v>
      </c>
      <c r="C11" s="20" t="s">
        <v>87</v>
      </c>
      <c r="D11" s="20" t="s">
        <v>156</v>
      </c>
      <c r="E11" s="20" t="s">
        <v>157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 s="20">
        <v>14046</v>
      </c>
      <c r="B12" s="20" t="s">
        <v>107</v>
      </c>
      <c r="C12" s="20" t="s">
        <v>87</v>
      </c>
      <c r="D12" s="20" t="s">
        <v>158</v>
      </c>
      <c r="E12" s="20" t="s">
        <v>159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 s="20">
        <v>14110</v>
      </c>
      <c r="B13" s="20" t="s">
        <v>102</v>
      </c>
      <c r="C13" s="20" t="s">
        <v>87</v>
      </c>
      <c r="D13" s="20" t="s">
        <v>160</v>
      </c>
      <c r="E13" s="20" t="s">
        <v>161</v>
      </c>
      <c r="F13" s="21" t="str">
        <f t="shared" si="0"/>
        <v>Voir sur Maps</v>
      </c>
      <c r="G13" s="22">
        <f>+VLOOKUP(TEXT(Tableau1[[#This Row],[Code INSEE]],"00000"),'[1]03_Déploiement_Prévu'!$A$3:$T$40,20,FALSE)</f>
        <v>3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 s="20">
        <v>14117</v>
      </c>
      <c r="B14" s="20" t="s">
        <v>109</v>
      </c>
      <c r="C14" s="20" t="s">
        <v>87</v>
      </c>
      <c r="D14" s="20" t="s">
        <v>162</v>
      </c>
      <c r="E14" s="20" t="s">
        <v>163</v>
      </c>
      <c r="F14" s="21" t="str">
        <f t="shared" si="0"/>
        <v>Voir sur Maps</v>
      </c>
      <c r="G14" s="22">
        <f>+VLOOKUP(TEXT(Tableau1[[#This Row],[Code INSEE]],"00000"),'[1]03_Déploiement_Prévu'!$A$3:$T$40,20,FALSE)</f>
        <v>4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 s="20">
        <v>14117</v>
      </c>
      <c r="B15" s="20" t="s">
        <v>109</v>
      </c>
      <c r="C15" s="20" t="s">
        <v>87</v>
      </c>
      <c r="D15" s="20" t="s">
        <v>164</v>
      </c>
      <c r="E15" s="20" t="s">
        <v>165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 s="20">
        <v>14225</v>
      </c>
      <c r="B16" s="20" t="s">
        <v>110</v>
      </c>
      <c r="C16" s="20" t="s">
        <v>87</v>
      </c>
      <c r="D16" s="20" t="s">
        <v>166</v>
      </c>
      <c r="E16" s="20" t="s">
        <v>167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 s="20">
        <v>14225</v>
      </c>
      <c r="B17" s="20" t="s">
        <v>110</v>
      </c>
      <c r="C17" s="20" t="s">
        <v>87</v>
      </c>
      <c r="D17" s="20" t="s">
        <v>168</v>
      </c>
      <c r="E17" s="20" t="s">
        <v>169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 s="20">
        <v>14225</v>
      </c>
      <c r="B18" s="20" t="s">
        <v>110</v>
      </c>
      <c r="C18" s="20" t="s">
        <v>87</v>
      </c>
      <c r="D18" s="20" t="s">
        <v>170</v>
      </c>
      <c r="E18" s="20" t="s">
        <v>171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 s="20">
        <v>14225</v>
      </c>
      <c r="B19" s="20" t="s">
        <v>110</v>
      </c>
      <c r="C19" s="20" t="s">
        <v>87</v>
      </c>
      <c r="D19" s="20" t="s">
        <v>172</v>
      </c>
      <c r="E19" s="20" t="s">
        <v>173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 s="20">
        <v>14229</v>
      </c>
      <c r="B20" s="20" t="s">
        <v>86</v>
      </c>
      <c r="C20" s="20" t="s">
        <v>87</v>
      </c>
      <c r="D20" s="20" t="s">
        <v>174</v>
      </c>
      <c r="E20" s="20" t="s">
        <v>175</v>
      </c>
      <c r="F20" s="21" t="str">
        <f t="shared" si="0"/>
        <v>Voir sur Maps</v>
      </c>
      <c r="G20" s="22">
        <f>+VLOOKUP(TEXT(Tableau1[[#This Row],[Code INSEE]],"00000"),'[1]03_Déploiement_Prévu'!$A$3:$T$40,20,FALSE)</f>
        <v>1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 s="20">
        <v>14305</v>
      </c>
      <c r="B21" s="20" t="s">
        <v>88</v>
      </c>
      <c r="C21" s="20" t="s">
        <v>87</v>
      </c>
      <c r="D21" s="20" t="s">
        <v>176</v>
      </c>
      <c r="E21" s="20" t="s">
        <v>177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 s="20">
        <v>14409</v>
      </c>
      <c r="B22" s="20" t="s">
        <v>113</v>
      </c>
      <c r="C22" s="20" t="s">
        <v>87</v>
      </c>
      <c r="D22" s="20" t="s">
        <v>178</v>
      </c>
      <c r="E22" s="20" t="s">
        <v>179</v>
      </c>
      <c r="F22" s="21" t="str">
        <f t="shared" si="0"/>
        <v>Voir sur Maps</v>
      </c>
      <c r="G22" s="22">
        <f>+VLOOKUP(TEXT(Tableau1[[#This Row],[Code INSEE]],"00000"),'[1]03_Déploiement_Prévu'!$A$3:$T$40,20,FALSE)</f>
        <v>4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 s="20">
        <v>14409</v>
      </c>
      <c r="B23" s="20" t="s">
        <v>113</v>
      </c>
      <c r="C23" s="20" t="s">
        <v>87</v>
      </c>
      <c r="D23" s="20" t="s">
        <v>180</v>
      </c>
      <c r="E23" s="20" t="s">
        <v>181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 s="20">
        <v>14409</v>
      </c>
      <c r="B24" s="20" t="s">
        <v>113</v>
      </c>
      <c r="C24" s="20" t="s">
        <v>87</v>
      </c>
      <c r="D24" s="20" t="s">
        <v>182</v>
      </c>
      <c r="E24" s="20" t="s">
        <v>183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 s="20">
        <v>14530</v>
      </c>
      <c r="B25" s="20" t="s">
        <v>114</v>
      </c>
      <c r="C25" s="20" t="s">
        <v>87</v>
      </c>
      <c r="D25" s="20" t="s">
        <v>184</v>
      </c>
      <c r="E25" s="20" t="s">
        <v>185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 s="20">
        <v>14550</v>
      </c>
      <c r="B26" s="20" t="s">
        <v>89</v>
      </c>
      <c r="C26" s="25" t="s">
        <v>87</v>
      </c>
      <c r="D26" t="s">
        <v>186</v>
      </c>
      <c r="E26" t="s">
        <v>187</v>
      </c>
      <c r="F26" s="21" t="str">
        <f t="shared" si="0"/>
        <v>Voir sur Maps</v>
      </c>
      <c r="G26" s="22">
        <f>+VLOOKUP(TEXT(Tableau1[[#This Row],[Code INSEE]],"00000"),'[1]03_Déploiement_Prévu'!$A$3:$T$40,20,FALSE)</f>
        <v>1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 s="20">
        <v>14660</v>
      </c>
      <c r="B27" s="20" t="s">
        <v>116</v>
      </c>
      <c r="C27" s="25" t="s">
        <v>87</v>
      </c>
      <c r="D27" t="s">
        <v>188</v>
      </c>
      <c r="E27" t="s">
        <v>189</v>
      </c>
      <c r="F27" s="21" t="str">
        <f t="shared" si="0"/>
        <v>Voir sur Maps</v>
      </c>
      <c r="G27" s="22">
        <f>+VLOOKUP(TEXT(Tableau1[[#This Row],[Code INSEE]],"00000"),'[1]03_Déploiement_Prévu'!$A$3:$T$40,20,FALSE)</f>
        <v>4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 s="20">
        <v>14665</v>
      </c>
      <c r="B28" s="20" t="s">
        <v>90</v>
      </c>
      <c r="C28" s="25" t="s">
        <v>87</v>
      </c>
      <c r="D28" t="s">
        <v>190</v>
      </c>
      <c r="E28" t="s">
        <v>191</v>
      </c>
      <c r="F28" s="21" t="str">
        <f t="shared" si="0"/>
        <v>Voir sur Maps</v>
      </c>
      <c r="G28" s="22">
        <f>+VLOOKUP(TEXT(Tableau1[[#This Row],[Code INSEE]],"00000"),'[1]03_Déploiement_Prévu'!$A$3:$T$40,20,FALSE)</f>
        <v>1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 s="20">
        <v>14724</v>
      </c>
      <c r="B29" s="20" t="s">
        <v>117</v>
      </c>
      <c r="C29" s="25" t="s">
        <v>87</v>
      </c>
      <c r="D29" t="s">
        <v>192</v>
      </c>
      <c r="E29" t="s">
        <v>193</v>
      </c>
      <c r="F29" s="21" t="str">
        <f t="shared" si="0"/>
        <v>Voir sur Maps</v>
      </c>
      <c r="G29" s="22">
        <f>+VLOOKUP(TEXT(Tableau1[[#This Row],[Code INSEE]],"00000"),'[1]03_Déploiement_Prévu'!$A$3:$T$40,20,FALSE)</f>
        <v>4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 s="20">
        <v>14743</v>
      </c>
      <c r="B30" s="20" t="s">
        <v>92</v>
      </c>
      <c r="C30" s="25" t="s">
        <v>87</v>
      </c>
      <c r="D30" t="s">
        <v>194</v>
      </c>
      <c r="E30" t="s">
        <v>195</v>
      </c>
      <c r="F30" s="21" t="str">
        <f t="shared" si="0"/>
        <v>Voir sur Maps</v>
      </c>
      <c r="G30" s="22">
        <f>+VLOOKUP(TEXT(Tableau1[[#This Row],[Code INSEE]],"00000"),'[1]03_Déploiement_Prévu'!$A$3:$T$40,20,FALSE)</f>
        <v>1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14009</v>
      </c>
      <c r="B31" t="s">
        <v>105</v>
      </c>
      <c r="C31" s="25" t="s">
        <v>393</v>
      </c>
      <c r="D31" t="s">
        <v>214</v>
      </c>
      <c r="E31" t="s">
        <v>215</v>
      </c>
      <c r="F31" s="21" t="str">
        <f t="shared" si="0"/>
        <v>Voir sur Maps</v>
      </c>
      <c r="G31" s="22">
        <f>+VLOOKUP(TEXT(Tableau1[[#This Row],[Code INSEE]],"00000"),'[1]03_Déploiement_Prévu'!$A$3:$T$40,20,FALSE)</f>
        <v>4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s="25" t="s">
        <v>393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14012</v>
      </c>
      <c r="B33" t="s">
        <v>84</v>
      </c>
      <c r="C33" s="25" t="s">
        <v>393</v>
      </c>
      <c r="D33" t="s">
        <v>261</v>
      </c>
      <c r="E33" t="s">
        <v>262</v>
      </c>
      <c r="F33" s="21" t="str">
        <f t="shared" si="0"/>
        <v>Voir sur Maps</v>
      </c>
      <c r="G33" s="22">
        <f>+VLOOKUP(TEXT(Tableau1[[#This Row],[Code INSEE]],"00000"),'[1]03_Déploiement_Prévu'!$A$3:$T$40,20,FALSE)</f>
        <v>1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s="25" t="s">
        <v>393</v>
      </c>
      <c r="D34" t="s">
        <v>263</v>
      </c>
      <c r="E34" t="s">
        <v>264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s="25" t="s">
        <v>393</v>
      </c>
      <c r="D35" t="s">
        <v>265</v>
      </c>
      <c r="E35" t="s">
        <v>266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14024</v>
      </c>
      <c r="B36" t="s">
        <v>106</v>
      </c>
      <c r="C36" s="25" t="s">
        <v>393</v>
      </c>
      <c r="D36" t="s">
        <v>267</v>
      </c>
      <c r="E36" t="s">
        <v>268</v>
      </c>
      <c r="F36" s="21" t="str">
        <f t="shared" si="1"/>
        <v>Voir sur Maps</v>
      </c>
      <c r="G36" s="22">
        <f>+VLOOKUP(TEXT(Tableau1[[#This Row],[Code INSEE]],"00000"),'[1]03_Déploiement_Prévu'!$A$3:$T$40,20,FALSE)</f>
        <v>4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s="25" t="s">
        <v>393</v>
      </c>
      <c r="D37" t="s">
        <v>269</v>
      </c>
      <c r="E37" t="s">
        <v>270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s="25" t="s">
        <v>393</v>
      </c>
      <c r="D38" t="s">
        <v>216</v>
      </c>
      <c r="E38" t="s">
        <v>217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14045</v>
      </c>
      <c r="B39" t="s">
        <v>99</v>
      </c>
      <c r="C39" s="25" t="s">
        <v>393</v>
      </c>
      <c r="D39" t="s">
        <v>271</v>
      </c>
      <c r="E39" t="s">
        <v>272</v>
      </c>
      <c r="F39" s="21" t="str">
        <f t="shared" si="1"/>
        <v>Voir sur Maps</v>
      </c>
      <c r="G39" s="22">
        <f>+VLOOKUP(TEXT(Tableau1[[#This Row],[Code INSEE]],"00000"),'[1]03_Déploiement_Prévu'!$A$3:$T$40,20,FALSE)</f>
        <v>3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14046</v>
      </c>
      <c r="B40" t="s">
        <v>107</v>
      </c>
      <c r="C40" s="25" t="s">
        <v>393</v>
      </c>
      <c r="D40" t="s">
        <v>273</v>
      </c>
      <c r="E40" t="s">
        <v>274</v>
      </c>
      <c r="F40" s="21" t="str">
        <f t="shared" si="1"/>
        <v>Voir sur Maps</v>
      </c>
      <c r="G40" s="22">
        <f>+VLOOKUP(TEXT(Tableau1[[#This Row],[Code INSEE]],"00000"),'[1]03_Déploiement_Prévu'!$A$3:$T$40,20,FALSE)</f>
        <v>4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s="25" t="s">
        <v>393</v>
      </c>
      <c r="D41" t="s">
        <v>275</v>
      </c>
      <c r="E41" t="s">
        <v>276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s="25" t="s">
        <v>393</v>
      </c>
      <c r="D42" t="s">
        <v>277</v>
      </c>
      <c r="E42" t="s">
        <v>278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s="25" t="s">
        <v>393</v>
      </c>
      <c r="D43" t="s">
        <v>218</v>
      </c>
      <c r="E43" t="s">
        <v>219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s="25" t="s">
        <v>393</v>
      </c>
      <c r="D44" t="s">
        <v>279</v>
      </c>
      <c r="E44" t="s">
        <v>280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s="25" t="s">
        <v>393</v>
      </c>
      <c r="D45" t="s">
        <v>281</v>
      </c>
      <c r="E45" t="s">
        <v>282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14231</v>
      </c>
      <c r="B46" t="s">
        <v>100</v>
      </c>
      <c r="C46" s="25" t="s">
        <v>393</v>
      </c>
      <c r="D46" t="s">
        <v>283</v>
      </c>
      <c r="E46" t="s">
        <v>284</v>
      </c>
      <c r="F46" s="21" t="str">
        <f t="shared" si="1"/>
        <v>Voir sur Maps</v>
      </c>
      <c r="G46" s="22">
        <f>+VLOOKUP(TEXT(Tableau1[[#This Row],[Code INSEE]],"00000"),'[1]03_Déploiement_Prévu'!$A$3:$T$40,20,FALSE)</f>
        <v>3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14070</v>
      </c>
      <c r="B47" t="s">
        <v>101</v>
      </c>
      <c r="C47" s="25" t="s">
        <v>393</v>
      </c>
      <c r="D47" t="s">
        <v>285</v>
      </c>
      <c r="E47" t="s">
        <v>286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s="25" t="s">
        <v>393</v>
      </c>
      <c r="D48" t="s">
        <v>287</v>
      </c>
      <c r="E48" t="s">
        <v>288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14106</v>
      </c>
      <c r="B49" t="s">
        <v>108</v>
      </c>
      <c r="C49" s="25" t="s">
        <v>393</v>
      </c>
      <c r="D49" t="s">
        <v>289</v>
      </c>
      <c r="E49" t="s">
        <v>290</v>
      </c>
      <c r="F49" s="21" t="str">
        <f t="shared" si="1"/>
        <v>Voir sur Maps</v>
      </c>
      <c r="G49" s="22">
        <f>+VLOOKUP(TEXT(Tableau1[[#This Row],[Code INSEE]],"00000"),'[1]03_Déploiement_Prévu'!$A$3:$T$40,20,FALSE)</f>
        <v>4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14110</v>
      </c>
      <c r="B50" t="s">
        <v>102</v>
      </c>
      <c r="C50" s="25" t="s">
        <v>393</v>
      </c>
      <c r="D50" t="s">
        <v>291</v>
      </c>
      <c r="E50" t="s">
        <v>292</v>
      </c>
      <c r="F50" s="21" t="str">
        <f t="shared" si="1"/>
        <v>Voir sur Maps</v>
      </c>
      <c r="G50" s="22">
        <f>+VLOOKUP(TEXT(Tableau1[[#This Row],[Code INSEE]],"00000"),'[1]03_Déploiement_Prévu'!$A$3:$T$40,20,FALSE)</f>
        <v>3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s="25" t="s">
        <v>393</v>
      </c>
      <c r="D51" t="s">
        <v>293</v>
      </c>
      <c r="E51" t="s">
        <v>294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s="25" t="s">
        <v>393</v>
      </c>
      <c r="D52" t="s">
        <v>295</v>
      </c>
      <c r="E52" t="s">
        <v>296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14117</v>
      </c>
      <c r="B53" t="s">
        <v>109</v>
      </c>
      <c r="C53" s="25" t="s">
        <v>393</v>
      </c>
      <c r="D53" t="s">
        <v>297</v>
      </c>
      <c r="E53" t="s">
        <v>298</v>
      </c>
      <c r="F53" s="21" t="str">
        <f t="shared" si="1"/>
        <v>Voir sur Maps</v>
      </c>
      <c r="G53" s="22">
        <f>+VLOOKUP(TEXT(Tableau1[[#This Row],[Code INSEE]],"00000"),'[1]03_Déploiement_Prévu'!$A$3:$T$40,20,FALSE)</f>
        <v>4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s="25" t="s">
        <v>393</v>
      </c>
      <c r="D54" t="s">
        <v>299</v>
      </c>
      <c r="E54" t="s">
        <v>300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14198</v>
      </c>
      <c r="B55" t="s">
        <v>93</v>
      </c>
      <c r="C55" s="25" t="s">
        <v>393</v>
      </c>
      <c r="D55" t="s">
        <v>301</v>
      </c>
      <c r="E55" t="s">
        <v>302</v>
      </c>
      <c r="F55" s="21" t="str">
        <f t="shared" si="1"/>
        <v>Voir sur Maps</v>
      </c>
      <c r="G55" s="22">
        <f>+VLOOKUP(TEXT(Tableau1[[#This Row],[Code INSEE]],"00000"),'[1]03_Déploiement_Prévu'!$A$3:$T$40,20,FALSE)</f>
        <v>2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14203</v>
      </c>
      <c r="B56" t="s">
        <v>94</v>
      </c>
      <c r="C56" s="25" t="s">
        <v>393</v>
      </c>
      <c r="D56" t="s">
        <v>303</v>
      </c>
      <c r="E56" t="s">
        <v>304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14225</v>
      </c>
      <c r="B57" t="s">
        <v>110</v>
      </c>
      <c r="C57" s="25" t="s">
        <v>393</v>
      </c>
      <c r="D57" t="s">
        <v>305</v>
      </c>
      <c r="E57" t="s">
        <v>306</v>
      </c>
      <c r="F57" s="21" t="str">
        <f t="shared" si="1"/>
        <v>Voir sur Maps</v>
      </c>
      <c r="G57" s="22">
        <f>+VLOOKUP(TEXT(Tableau1[[#This Row],[Code INSEE]],"00000"),'[1]03_Déploiement_Prévu'!$A$3:$T$40,20,FALSE)</f>
        <v>4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s="25" t="s">
        <v>393</v>
      </c>
      <c r="D58" t="s">
        <v>307</v>
      </c>
      <c r="E58" t="s">
        <v>308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s="25" t="s">
        <v>393</v>
      </c>
      <c r="D59" t="s">
        <v>309</v>
      </c>
      <c r="E59" t="s">
        <v>310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s="25" t="s">
        <v>393</v>
      </c>
      <c r="D60" t="s">
        <v>311</v>
      </c>
      <c r="E60" t="s">
        <v>312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14227</v>
      </c>
      <c r="B61" t="s">
        <v>95</v>
      </c>
      <c r="C61" s="25" t="s">
        <v>393</v>
      </c>
      <c r="D61" t="s">
        <v>313</v>
      </c>
      <c r="E61" t="s">
        <v>314</v>
      </c>
      <c r="F61" s="21" t="str">
        <f t="shared" si="1"/>
        <v>Voir sur Maps</v>
      </c>
      <c r="G61" s="22">
        <f>+VLOOKUP(TEXT(Tableau1[[#This Row],[Code INSEE]],"00000"),'[1]03_Déploiement_Prévu'!$A$3:$T$40,20,FALSE)</f>
        <v>2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s="25" t="s">
        <v>393</v>
      </c>
      <c r="D62" t="s">
        <v>315</v>
      </c>
      <c r="E62" t="s">
        <v>316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s="25" t="s">
        <v>393</v>
      </c>
      <c r="D63" t="s">
        <v>317</v>
      </c>
      <c r="E63" t="s">
        <v>318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14229</v>
      </c>
      <c r="B64" t="s">
        <v>86</v>
      </c>
      <c r="C64" s="25" t="s">
        <v>393</v>
      </c>
      <c r="D64" t="s">
        <v>319</v>
      </c>
      <c r="E64" t="s">
        <v>320</v>
      </c>
      <c r="F64" s="21" t="str">
        <f t="shared" si="1"/>
        <v>Voir sur Maps</v>
      </c>
      <c r="G64" s="22">
        <f>+VLOOKUP(TEXT(Tableau1[[#This Row],[Code INSEE]],"00000"),'[1]03_Déploiement_Prévu'!$A$3:$T$40,20,FALSE)</f>
        <v>1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s="25" t="s">
        <v>393</v>
      </c>
      <c r="D65" t="s">
        <v>232</v>
      </c>
      <c r="E65" t="s">
        <v>233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s="25" t="s">
        <v>393</v>
      </c>
      <c r="D66" t="s">
        <v>234</v>
      </c>
      <c r="E66" t="s">
        <v>235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s="25" t="s">
        <v>393</v>
      </c>
      <c r="D67" t="s">
        <v>244</v>
      </c>
      <c r="E67" t="s">
        <v>245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s="25" t="s">
        <v>393</v>
      </c>
      <c r="D68" t="s">
        <v>321</v>
      </c>
      <c r="E68" t="s">
        <v>322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s="25" t="s">
        <v>393</v>
      </c>
      <c r="D69" t="s">
        <v>321</v>
      </c>
      <c r="E69" t="s">
        <v>322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s="25" t="s">
        <v>393</v>
      </c>
      <c r="D70" t="s">
        <v>323</v>
      </c>
      <c r="E70" t="s">
        <v>324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s="25" t="s">
        <v>393</v>
      </c>
      <c r="D71" t="s">
        <v>325</v>
      </c>
      <c r="E71" t="s">
        <v>326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s="25" t="s">
        <v>393</v>
      </c>
      <c r="D72" t="s">
        <v>325</v>
      </c>
      <c r="E72" t="s">
        <v>326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s="25" t="s">
        <v>393</v>
      </c>
      <c r="D73" t="s">
        <v>222</v>
      </c>
      <c r="E73" t="s">
        <v>223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s="25" t="s">
        <v>393</v>
      </c>
      <c r="D74" t="s">
        <v>327</v>
      </c>
      <c r="E74" t="s">
        <v>328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s="25" t="s">
        <v>393</v>
      </c>
      <c r="D75" t="s">
        <v>329</v>
      </c>
      <c r="E75" t="s">
        <v>330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s="25" t="s">
        <v>393</v>
      </c>
      <c r="D76" t="s">
        <v>331</v>
      </c>
      <c r="E76" t="s">
        <v>332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14306</v>
      </c>
      <c r="B77" t="s">
        <v>96</v>
      </c>
      <c r="C77" s="25" t="s">
        <v>393</v>
      </c>
      <c r="D77" t="s">
        <v>333</v>
      </c>
      <c r="E77" t="s">
        <v>334</v>
      </c>
      <c r="F77" s="21" t="str">
        <f t="shared" si="2"/>
        <v>Voir sur Maps</v>
      </c>
      <c r="G77" s="22">
        <f>+VLOOKUP(TEXT(Tableau1[[#This Row],[Code INSEE]],"00000"),'[1]03_Déploiement_Prévu'!$A$3:$T$40,20,FALSE)</f>
        <v>2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s="25" t="s">
        <v>393</v>
      </c>
      <c r="D78" t="s">
        <v>220</v>
      </c>
      <c r="E78" t="s">
        <v>221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s="25" t="s">
        <v>393</v>
      </c>
      <c r="D79" t="s">
        <v>206</v>
      </c>
      <c r="E79" t="s">
        <v>207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14305</v>
      </c>
      <c r="B80" t="s">
        <v>88</v>
      </c>
      <c r="C80" s="25" t="s">
        <v>393</v>
      </c>
      <c r="D80" t="s">
        <v>335</v>
      </c>
      <c r="E80" t="s">
        <v>336</v>
      </c>
      <c r="F80" s="21" t="str">
        <f t="shared" si="2"/>
        <v>Voir sur Maps</v>
      </c>
      <c r="G80" s="22">
        <f>+VLOOKUP(TEXT(Tableau1[[#This Row],[Code INSEE]],"00000"),'[1]03_Déploiement_Prévu'!$A$3:$T$40,20,FALSE)</f>
        <v>1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s="25" t="s">
        <v>393</v>
      </c>
      <c r="D81" t="s">
        <v>337</v>
      </c>
      <c r="E81" t="s">
        <v>338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s="25" t="s">
        <v>393</v>
      </c>
      <c r="D82" t="s">
        <v>339</v>
      </c>
      <c r="E82" t="s">
        <v>340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s="25" t="s">
        <v>393</v>
      </c>
      <c r="D83" t="s">
        <v>341</v>
      </c>
      <c r="E83" t="s">
        <v>342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s="25" t="s">
        <v>393</v>
      </c>
      <c r="D84" t="s">
        <v>343</v>
      </c>
      <c r="E84" t="s">
        <v>344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s="25" t="s">
        <v>393</v>
      </c>
      <c r="D85" t="s">
        <v>208</v>
      </c>
      <c r="E85" t="s">
        <v>209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s="25" t="s">
        <v>393</v>
      </c>
      <c r="D86" t="s">
        <v>210</v>
      </c>
      <c r="E86" t="s">
        <v>211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14308</v>
      </c>
      <c r="B87" t="s">
        <v>97</v>
      </c>
      <c r="C87" s="25" t="s">
        <v>393</v>
      </c>
      <c r="D87" t="s">
        <v>236</v>
      </c>
      <c r="E87" t="s">
        <v>237</v>
      </c>
      <c r="F87" s="21" t="str">
        <f t="shared" si="2"/>
        <v>Voir sur Maps</v>
      </c>
      <c r="G87" s="22">
        <f>+VLOOKUP(TEXT(Tableau1[[#This Row],[Code INSEE]],"00000"),'[1]03_Déploiement_Prévu'!$A$3:$T$40,20,FALSE)</f>
        <v>2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s="25" t="s">
        <v>393</v>
      </c>
      <c r="D88" t="s">
        <v>236</v>
      </c>
      <c r="E88" t="s">
        <v>237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14308</v>
      </c>
      <c r="B89" t="s">
        <v>97</v>
      </c>
      <c r="C89" s="25" t="s">
        <v>393</v>
      </c>
      <c r="D89" t="s">
        <v>240</v>
      </c>
      <c r="E89" t="s">
        <v>241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s="25" t="s">
        <v>393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s="25" t="s">
        <v>393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s="25" t="s">
        <v>393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s="25" t="s">
        <v>393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s="25" t="s">
        <v>393</v>
      </c>
      <c r="D94" t="s">
        <v>353</v>
      </c>
      <c r="E94" t="s">
        <v>354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s="25" t="s">
        <v>393</v>
      </c>
      <c r="D95" t="s">
        <v>320</v>
      </c>
      <c r="E95" t="s">
        <v>320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14316</v>
      </c>
      <c r="B96" t="s">
        <v>98</v>
      </c>
      <c r="C96" s="25" t="s">
        <v>393</v>
      </c>
      <c r="D96" t="s">
        <v>320</v>
      </c>
      <c r="E96" t="s">
        <v>320</v>
      </c>
      <c r="F96" s="21" t="str">
        <f t="shared" si="2"/>
        <v>Voir sur Maps</v>
      </c>
      <c r="G96" s="22">
        <f>+VLOOKUP(TEXT(Tableau1[[#This Row],[Code INSEE]],"00000"),'[1]03_Déploiement_Prévu'!$A$3:$T$40,20,FALSE)</f>
        <v>2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14329</v>
      </c>
      <c r="B97" t="s">
        <v>111</v>
      </c>
      <c r="C97" s="25" t="s">
        <v>393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s="25" t="s">
        <v>393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s="25" t="s">
        <v>393</v>
      </c>
      <c r="D99" t="s">
        <v>359</v>
      </c>
      <c r="E99" t="s">
        <v>360</v>
      </c>
      <c r="F99" s="21" t="str">
        <f t="shared" ref="F99:F139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s="25" t="s">
        <v>393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s="25" t="s">
        <v>393</v>
      </c>
      <c r="D101" t="s">
        <v>361</v>
      </c>
      <c r="E101" t="s">
        <v>362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s="25" t="s">
        <v>393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s="25" t="s">
        <v>393</v>
      </c>
      <c r="D103" t="s">
        <v>248</v>
      </c>
      <c r="E103" t="s">
        <v>249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s="25" t="s">
        <v>393</v>
      </c>
      <c r="D104" t="s">
        <v>246</v>
      </c>
      <c r="E104" t="s">
        <v>247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s="25" t="s">
        <v>393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s="25" t="s">
        <v>393</v>
      </c>
      <c r="D106" t="s">
        <v>365</v>
      </c>
      <c r="E106" t="s">
        <v>366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s="25" t="s">
        <v>393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s="25" t="s">
        <v>393</v>
      </c>
      <c r="D108" t="s">
        <v>212</v>
      </c>
      <c r="E108" t="s">
        <v>213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s="25" t="s">
        <v>393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s="25" t="s">
        <v>393</v>
      </c>
      <c r="D110" t="s">
        <v>252</v>
      </c>
      <c r="E110" t="s">
        <v>253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14338</v>
      </c>
      <c r="B111" t="s">
        <v>112</v>
      </c>
      <c r="C111" s="25" t="s">
        <v>393</v>
      </c>
      <c r="D111" t="s">
        <v>252</v>
      </c>
      <c r="E111" t="s">
        <v>253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14409</v>
      </c>
      <c r="B112" t="s">
        <v>113</v>
      </c>
      <c r="C112" s="25" t="s">
        <v>393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14530</v>
      </c>
      <c r="B113" t="s">
        <v>114</v>
      </c>
      <c r="C113" s="25" t="s">
        <v>393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4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s="25" t="s">
        <v>393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14550</v>
      </c>
      <c r="B115" t="s">
        <v>89</v>
      </c>
      <c r="C115" s="25" t="s">
        <v>393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1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s="25" t="s">
        <v>393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s="25" t="s">
        <v>393</v>
      </c>
      <c r="D117" t="s">
        <v>377</v>
      </c>
      <c r="E117" t="s">
        <v>378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14598</v>
      </c>
      <c r="B118" t="s">
        <v>104</v>
      </c>
      <c r="C118" s="25" t="s">
        <v>393</v>
      </c>
      <c r="D118" t="s">
        <v>320</v>
      </c>
      <c r="E118" t="s">
        <v>320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3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s="25" t="s">
        <v>393</v>
      </c>
      <c r="D119" t="s">
        <v>379</v>
      </c>
      <c r="E119" t="s">
        <v>380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14606</v>
      </c>
      <c r="B120" t="s">
        <v>115</v>
      </c>
      <c r="C120" s="25" t="s">
        <v>393</v>
      </c>
      <c r="D120" t="s">
        <v>377</v>
      </c>
      <c r="E120" t="s">
        <v>378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14657</v>
      </c>
      <c r="B121" t="s">
        <v>134</v>
      </c>
      <c r="C121" s="25" t="s">
        <v>393</v>
      </c>
      <c r="D121" t="s">
        <v>320</v>
      </c>
      <c r="E121" t="s">
        <v>320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4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s="25" t="s">
        <v>393</v>
      </c>
      <c r="D122" t="s">
        <v>319</v>
      </c>
      <c r="E122" t="s">
        <v>320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s="25" t="s">
        <v>393</v>
      </c>
      <c r="D123" t="s">
        <v>230</v>
      </c>
      <c r="E123" t="s">
        <v>231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14665</v>
      </c>
      <c r="B124" t="s">
        <v>90</v>
      </c>
      <c r="C124" s="25" t="s">
        <v>393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1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s="25" t="s">
        <v>393</v>
      </c>
      <c r="D125" t="s">
        <v>383</v>
      </c>
      <c r="E125" t="s">
        <v>384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393</v>
      </c>
      <c r="D126" t="s">
        <v>379</v>
      </c>
      <c r="E126" t="s">
        <v>380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393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393</v>
      </c>
      <c r="D128" t="s">
        <v>387</v>
      </c>
      <c r="E128" t="s">
        <v>388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393</v>
      </c>
      <c r="D129" t="s">
        <v>238</v>
      </c>
      <c r="E129" t="s">
        <v>239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393</v>
      </c>
      <c r="D130" t="s">
        <v>254</v>
      </c>
      <c r="E130" t="s">
        <v>255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393</v>
      </c>
      <c r="D131" t="s">
        <v>389</v>
      </c>
      <c r="E131" t="s">
        <v>390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14724</v>
      </c>
      <c r="B132" t="s">
        <v>117</v>
      </c>
      <c r="C132" t="s">
        <v>393</v>
      </c>
      <c r="D132" t="s">
        <v>242</v>
      </c>
      <c r="E132" t="s">
        <v>243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4</v>
      </c>
    </row>
    <row r="133" spans="1:7" x14ac:dyDescent="0.25">
      <c r="A133">
        <v>14743</v>
      </c>
      <c r="B133" t="s">
        <v>136</v>
      </c>
      <c r="C133" t="s">
        <v>393</v>
      </c>
      <c r="D133" t="s">
        <v>320</v>
      </c>
      <c r="E133" t="s">
        <v>320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393</v>
      </c>
      <c r="D134" t="s">
        <v>391</v>
      </c>
      <c r="E134" t="s">
        <v>392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393</v>
      </c>
      <c r="D135" t="s">
        <v>224</v>
      </c>
      <c r="E135" t="s">
        <v>225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393</v>
      </c>
      <c r="D136" t="s">
        <v>226</v>
      </c>
      <c r="E136" t="s">
        <v>227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393</v>
      </c>
      <c r="D137" t="s">
        <v>228</v>
      </c>
      <c r="E137" t="s">
        <v>229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393</v>
      </c>
      <c r="D138" t="s">
        <v>320</v>
      </c>
      <c r="E138" t="s">
        <v>320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  <row r="139" spans="1:7" x14ac:dyDescent="0.25">
      <c r="A139">
        <v>14743</v>
      </c>
      <c r="B139" t="s">
        <v>136</v>
      </c>
      <c r="C139" t="s">
        <v>393</v>
      </c>
      <c r="D139" t="s">
        <v>320</v>
      </c>
      <c r="E139" t="s">
        <v>320</v>
      </c>
      <c r="F139" s="21" t="str">
        <f t="shared" si="3"/>
        <v>Voir sur Maps</v>
      </c>
      <c r="G139" s="22">
        <f>+VLOOKUP(TEXT(Tableau1[[#This Row],[Code INSEE]],"00000"),'[1]03_Déploiement_Prévu'!$A$3:$T$40,20,FALSE)</f>
        <v>1</v>
      </c>
    </row>
  </sheetData>
  <dataValidations count="5">
    <dataValidation type="list" allowBlank="1" sqref="I3:I139" xr:uid="{00000000-0002-0000-0200-000000000000}">
      <formula1>"À valider,Validé"</formula1>
      <formula2>0</formula2>
    </dataValidation>
    <dataValidation type="list" allowBlank="1" sqref="J3:J139" xr:uid="{00000000-0002-0000-0200-000001000000}">
      <formula1>"Non déposée,Déposée,Récépissés reçus,Réseau détecté,Calé"</formula1>
      <formula2>0</formula2>
    </dataValidation>
    <dataValidation type="list" allowBlank="1" sqref="K3:K139" xr:uid="{00000000-0002-0000-0200-000002000000}">
      <formula1>"En attente,RAS,Réseau dans l'emprise"</formula1>
      <formula2>0</formula2>
    </dataValidation>
    <dataValidation type="list" allowBlank="1" sqref="L3:L139" xr:uid="{00000000-0002-0000-0200-000003000000}">
      <formula1>"Non,Demandé,Obtenu"</formula1>
      <formula2>0</formula2>
    </dataValidation>
    <dataValidation type="list" allowBlank="1" sqref="M3:M139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B21" sqref="B21"/>
    </sheetView>
  </sheetViews>
  <sheetFormatPr baseColWidth="10" defaultColWidth="9.140625" defaultRowHeight="15" x14ac:dyDescent="0.25"/>
  <cols>
    <col min="1" max="1" width="17" style="32" customWidth="1"/>
    <col min="2" max="2" width="56.5703125" style="32" customWidth="1"/>
    <col min="3" max="26" width="5.7109375" style="32" customWidth="1"/>
    <col min="27" max="16384" width="9.140625" style="32"/>
  </cols>
  <sheetData>
    <row r="1" spans="1:26" ht="26.1" customHeight="1" x14ac:dyDescent="0.25">
      <c r="A1" s="92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 spans="1:26" x14ac:dyDescent="0.25">
      <c r="A2" s="94" t="s">
        <v>1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 spans="1:26" ht="14.1" customHeight="1" x14ac:dyDescent="0.25">
      <c r="A3" s="95" t="s">
        <v>2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5" spans="1:26" ht="18" customHeight="1" thickBot="1" x14ac:dyDescent="0.3">
      <c r="A5" s="96" t="s">
        <v>3</v>
      </c>
      <c r="B5" s="96" t="s">
        <v>4</v>
      </c>
      <c r="C5" s="97" t="s">
        <v>5</v>
      </c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8" t="s">
        <v>6</v>
      </c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 spans="1:26" ht="15.95" customHeight="1" x14ac:dyDescent="0.25">
      <c r="A6" s="93"/>
      <c r="B6" s="93"/>
      <c r="C6" s="33" t="s">
        <v>7</v>
      </c>
      <c r="D6" s="34" t="s">
        <v>8</v>
      </c>
      <c r="E6" s="34" t="s">
        <v>9</v>
      </c>
      <c r="F6" s="34" t="s">
        <v>10</v>
      </c>
      <c r="G6" s="34" t="s">
        <v>11</v>
      </c>
      <c r="H6" s="35" t="s">
        <v>12</v>
      </c>
      <c r="I6" s="33" t="s">
        <v>13</v>
      </c>
      <c r="J6" s="34" t="s">
        <v>14</v>
      </c>
      <c r="K6" s="34" t="s">
        <v>15</v>
      </c>
      <c r="L6" s="34" t="s">
        <v>16</v>
      </c>
      <c r="M6" s="34" t="s">
        <v>17</v>
      </c>
      <c r="N6" s="35" t="s">
        <v>18</v>
      </c>
      <c r="O6" s="33" t="s">
        <v>7</v>
      </c>
      <c r="P6" s="34" t="s">
        <v>8</v>
      </c>
      <c r="Q6" s="34" t="s">
        <v>9</v>
      </c>
      <c r="R6" s="34" t="s">
        <v>10</v>
      </c>
      <c r="S6" s="34" t="s">
        <v>11</v>
      </c>
      <c r="T6" s="35" t="s">
        <v>12</v>
      </c>
      <c r="U6" s="33" t="s">
        <v>13</v>
      </c>
      <c r="V6" s="34" t="s">
        <v>14</v>
      </c>
      <c r="W6" s="34" t="s">
        <v>15</v>
      </c>
      <c r="X6" s="34" t="s">
        <v>16</v>
      </c>
      <c r="Y6" s="34" t="s">
        <v>17</v>
      </c>
      <c r="Z6" s="35" t="s">
        <v>18</v>
      </c>
    </row>
    <row r="7" spans="1:26" ht="30" customHeight="1" x14ac:dyDescent="0.25">
      <c r="A7" s="99" t="s">
        <v>19</v>
      </c>
      <c r="B7" s="36" t="s">
        <v>20</v>
      </c>
      <c r="C7" s="37"/>
      <c r="D7" s="38"/>
      <c r="E7" s="39"/>
      <c r="F7" s="39"/>
      <c r="G7" s="39"/>
      <c r="H7" s="40"/>
      <c r="I7" s="41"/>
      <c r="J7" s="39"/>
      <c r="K7" s="39"/>
      <c r="L7" s="39"/>
      <c r="M7" s="39"/>
      <c r="N7" s="40"/>
      <c r="O7" s="41"/>
      <c r="P7" s="39"/>
      <c r="Q7" s="39"/>
      <c r="R7" s="39"/>
      <c r="S7" s="39"/>
      <c r="T7" s="40"/>
      <c r="U7" s="41"/>
      <c r="V7" s="39"/>
      <c r="W7" s="39"/>
      <c r="X7" s="39"/>
      <c r="Y7" s="39"/>
      <c r="Z7" s="40"/>
    </row>
    <row r="8" spans="1:26" ht="30" customHeight="1" x14ac:dyDescent="0.25">
      <c r="A8" s="91"/>
      <c r="B8" s="36" t="s">
        <v>21</v>
      </c>
      <c r="C8" s="41"/>
      <c r="D8" s="39"/>
      <c r="E8" s="38"/>
      <c r="F8" s="38"/>
      <c r="G8" s="38"/>
      <c r="H8" s="40"/>
      <c r="I8" s="41"/>
      <c r="J8" s="39"/>
      <c r="K8" s="39"/>
      <c r="L8" s="39"/>
      <c r="M8" s="39"/>
      <c r="N8" s="40"/>
      <c r="O8" s="41"/>
      <c r="P8" s="39"/>
      <c r="Q8" s="39"/>
      <c r="R8" s="39"/>
      <c r="S8" s="39"/>
      <c r="T8" s="40"/>
      <c r="U8" s="41"/>
      <c r="V8" s="39"/>
      <c r="W8" s="39"/>
      <c r="X8" s="39"/>
      <c r="Y8" s="39"/>
      <c r="Z8" s="40"/>
    </row>
    <row r="9" spans="1:26" ht="30" customHeight="1" x14ac:dyDescent="0.25">
      <c r="A9" s="91"/>
      <c r="B9" s="36" t="s">
        <v>22</v>
      </c>
      <c r="C9" s="41"/>
      <c r="D9" s="39"/>
      <c r="E9" s="42"/>
      <c r="F9" s="42"/>
      <c r="G9" s="42"/>
      <c r="H9" s="43"/>
      <c r="I9" s="44"/>
      <c r="J9" s="42"/>
      <c r="K9" s="42"/>
      <c r="L9" s="42"/>
      <c r="M9" s="42"/>
      <c r="N9" s="43"/>
      <c r="O9" s="44"/>
      <c r="P9" s="42"/>
      <c r="Q9" s="42"/>
      <c r="R9" s="42"/>
      <c r="S9" s="42"/>
      <c r="T9" s="43"/>
      <c r="U9" s="44"/>
      <c r="V9" s="42"/>
      <c r="W9" s="42"/>
      <c r="X9" s="42"/>
      <c r="Y9" s="42"/>
      <c r="Z9" s="43"/>
    </row>
    <row r="10" spans="1:26" ht="30" customHeight="1" x14ac:dyDescent="0.25">
      <c r="A10" s="91"/>
      <c r="B10" s="45" t="s">
        <v>23</v>
      </c>
      <c r="C10" s="41"/>
      <c r="D10" s="39"/>
      <c r="E10" s="39"/>
      <c r="F10" s="39"/>
      <c r="G10" s="39"/>
      <c r="H10" s="43"/>
      <c r="I10" s="44"/>
      <c r="J10" s="42"/>
      <c r="K10" s="42"/>
      <c r="L10" s="42"/>
      <c r="M10" s="42"/>
      <c r="N10" s="43"/>
      <c r="O10" s="44"/>
      <c r="P10" s="42"/>
      <c r="Q10" s="42"/>
      <c r="R10" s="42"/>
      <c r="S10" s="42"/>
      <c r="T10" s="43"/>
      <c r="U10" s="44"/>
      <c r="V10" s="42"/>
      <c r="W10" s="42"/>
      <c r="X10" s="42"/>
      <c r="Y10" s="42"/>
      <c r="Z10" s="43"/>
    </row>
    <row r="11" spans="1:26" ht="30" customHeight="1" x14ac:dyDescent="0.25">
      <c r="A11" s="100" t="s">
        <v>24</v>
      </c>
      <c r="B11" s="36" t="s">
        <v>25</v>
      </c>
      <c r="C11" s="41"/>
      <c r="D11" s="39"/>
      <c r="E11" s="46"/>
      <c r="F11" s="46"/>
      <c r="G11" s="46"/>
      <c r="H11" s="47"/>
      <c r="I11" s="41"/>
      <c r="J11" s="39"/>
      <c r="K11" s="39"/>
      <c r="L11" s="39"/>
      <c r="M11" s="39"/>
      <c r="N11" s="40"/>
      <c r="O11" s="41"/>
      <c r="P11" s="39"/>
      <c r="Q11" s="39"/>
      <c r="R11" s="39"/>
      <c r="S11" s="39"/>
      <c r="T11" s="40"/>
      <c r="U11" s="41"/>
      <c r="V11" s="39"/>
      <c r="W11" s="39"/>
      <c r="X11" s="39"/>
      <c r="Y11" s="39"/>
      <c r="Z11" s="40"/>
    </row>
    <row r="12" spans="1:26" ht="30" customHeight="1" x14ac:dyDescent="0.25">
      <c r="A12" s="91"/>
      <c r="B12" s="36" t="s">
        <v>26</v>
      </c>
      <c r="C12" s="41"/>
      <c r="D12" s="39"/>
      <c r="E12" s="39"/>
      <c r="F12" s="39"/>
      <c r="G12" s="39"/>
      <c r="H12" s="47"/>
      <c r="I12" s="48"/>
      <c r="J12" s="46"/>
      <c r="K12" s="46"/>
      <c r="L12" s="39"/>
      <c r="M12" s="39"/>
      <c r="N12" s="40"/>
      <c r="O12" s="41"/>
      <c r="P12" s="39"/>
      <c r="Q12" s="39"/>
      <c r="R12" s="39"/>
      <c r="S12" s="39"/>
      <c r="T12" s="40"/>
      <c r="U12" s="41"/>
      <c r="V12" s="39"/>
      <c r="W12" s="39"/>
      <c r="X12" s="39"/>
      <c r="Y12" s="39"/>
      <c r="Z12" s="40"/>
    </row>
    <row r="13" spans="1:26" ht="30" customHeight="1" x14ac:dyDescent="0.25">
      <c r="A13" s="91"/>
      <c r="B13" s="36" t="s">
        <v>27</v>
      </c>
      <c r="C13" s="41"/>
      <c r="D13" s="39"/>
      <c r="E13" s="39"/>
      <c r="F13" s="39"/>
      <c r="G13" s="39"/>
      <c r="H13" s="40"/>
      <c r="I13" s="41"/>
      <c r="J13" s="39"/>
      <c r="K13" s="46"/>
      <c r="L13" s="46"/>
      <c r="M13" s="46"/>
      <c r="N13" s="47"/>
      <c r="O13" s="48"/>
      <c r="P13" s="46"/>
      <c r="Q13" s="46"/>
      <c r="R13" s="39"/>
      <c r="S13" s="39"/>
      <c r="T13" s="40"/>
      <c r="U13" s="41"/>
      <c r="V13" s="39"/>
      <c r="W13" s="39"/>
      <c r="X13" s="39"/>
      <c r="Y13" s="39"/>
      <c r="Z13" s="40"/>
    </row>
    <row r="14" spans="1:26" ht="30" customHeight="1" x14ac:dyDescent="0.25">
      <c r="A14" s="101" t="s">
        <v>28</v>
      </c>
      <c r="B14" s="36" t="s">
        <v>29</v>
      </c>
      <c r="C14" s="41"/>
      <c r="D14" s="39"/>
      <c r="E14" s="39"/>
      <c r="F14" s="39"/>
      <c r="G14" s="39"/>
      <c r="H14" s="49"/>
      <c r="I14" s="50"/>
      <c r="J14" s="39"/>
      <c r="K14" s="39"/>
      <c r="L14" s="39"/>
      <c r="M14" s="39"/>
      <c r="N14" s="40"/>
      <c r="O14" s="41"/>
      <c r="P14" s="39"/>
      <c r="Q14" s="39"/>
      <c r="R14" s="39"/>
      <c r="S14" s="39"/>
      <c r="T14" s="40"/>
      <c r="U14" s="41"/>
      <c r="V14" s="39"/>
      <c r="W14" s="39"/>
      <c r="X14" s="39"/>
      <c r="Y14" s="39"/>
      <c r="Z14" s="40"/>
    </row>
    <row r="15" spans="1:26" ht="30" customHeight="1" x14ac:dyDescent="0.25">
      <c r="A15" s="91"/>
      <c r="B15" s="36" t="s">
        <v>30</v>
      </c>
      <c r="C15" s="41"/>
      <c r="D15" s="39"/>
      <c r="E15" s="39"/>
      <c r="F15" s="39"/>
      <c r="G15" s="39"/>
      <c r="H15" s="40"/>
      <c r="I15" s="41"/>
      <c r="J15" s="51"/>
      <c r="K15" s="51"/>
      <c r="L15" s="51"/>
      <c r="M15" s="39"/>
      <c r="N15" s="40"/>
      <c r="O15" s="41"/>
      <c r="P15" s="39"/>
      <c r="Q15" s="39"/>
      <c r="R15" s="39"/>
      <c r="S15" s="39"/>
      <c r="T15" s="40"/>
      <c r="U15" s="41"/>
      <c r="V15" s="39"/>
      <c r="W15" s="39"/>
      <c r="X15" s="39"/>
      <c r="Y15" s="39"/>
      <c r="Z15" s="40"/>
    </row>
    <row r="16" spans="1:26" ht="30" customHeight="1" x14ac:dyDescent="0.25">
      <c r="A16" s="91"/>
      <c r="B16" s="36" t="s">
        <v>31</v>
      </c>
      <c r="C16" s="41"/>
      <c r="D16" s="39"/>
      <c r="E16" s="39"/>
      <c r="F16" s="39"/>
      <c r="G16" s="39"/>
      <c r="H16" s="40"/>
      <c r="I16" s="41"/>
      <c r="J16" s="39"/>
      <c r="K16" s="39"/>
      <c r="L16" s="39"/>
      <c r="M16" s="51"/>
      <c r="N16" s="49"/>
      <c r="O16" s="50"/>
      <c r="P16" s="39"/>
      <c r="Q16" s="39"/>
      <c r="R16" s="39"/>
      <c r="S16" s="39"/>
      <c r="T16" s="40"/>
      <c r="U16" s="41"/>
      <c r="V16" s="39"/>
      <c r="W16" s="39"/>
      <c r="X16" s="39"/>
      <c r="Y16" s="39"/>
      <c r="Z16" s="40"/>
    </row>
    <row r="17" spans="1:26" ht="30" customHeight="1" x14ac:dyDescent="0.25">
      <c r="A17" s="91"/>
      <c r="B17" s="36" t="s">
        <v>32</v>
      </c>
      <c r="C17" s="41"/>
      <c r="D17" s="39"/>
      <c r="E17" s="39"/>
      <c r="F17" s="39"/>
      <c r="G17" s="39"/>
      <c r="H17" s="40"/>
      <c r="I17" s="41"/>
      <c r="J17" s="39"/>
      <c r="K17" s="39"/>
      <c r="L17" s="39"/>
      <c r="M17" s="39"/>
      <c r="N17" s="40"/>
      <c r="O17" s="41"/>
      <c r="P17" s="51"/>
      <c r="Q17" s="51"/>
      <c r="R17" s="51"/>
      <c r="S17" s="51"/>
      <c r="T17" s="49"/>
      <c r="U17" s="50"/>
      <c r="V17" s="39"/>
      <c r="W17" s="39"/>
      <c r="X17" s="39"/>
      <c r="Y17" s="39"/>
      <c r="Z17" s="40"/>
    </row>
    <row r="18" spans="1:26" ht="30" customHeight="1" x14ac:dyDescent="0.25">
      <c r="A18" s="91"/>
      <c r="B18" s="36" t="s">
        <v>33</v>
      </c>
      <c r="C18" s="41"/>
      <c r="D18" s="39"/>
      <c r="E18" s="39"/>
      <c r="F18" s="39"/>
      <c r="G18" s="39"/>
      <c r="H18" s="40"/>
      <c r="I18" s="52"/>
      <c r="J18" s="53"/>
      <c r="K18" s="53"/>
      <c r="L18" s="53"/>
      <c r="M18" s="53"/>
      <c r="N18" s="54"/>
      <c r="O18" s="52"/>
      <c r="P18" s="53"/>
      <c r="Q18" s="53"/>
      <c r="R18" s="53"/>
      <c r="S18" s="53"/>
      <c r="T18" s="54"/>
      <c r="U18" s="41"/>
      <c r="V18" s="39"/>
      <c r="W18" s="39"/>
      <c r="X18" s="39"/>
      <c r="Y18" s="39"/>
      <c r="Z18" s="40"/>
    </row>
    <row r="19" spans="1:26" ht="30" customHeight="1" x14ac:dyDescent="0.25">
      <c r="A19" s="102" t="s">
        <v>34</v>
      </c>
      <c r="B19" s="36" t="s">
        <v>35</v>
      </c>
      <c r="C19" s="41"/>
      <c r="D19" s="39"/>
      <c r="E19" s="39"/>
      <c r="F19" s="39"/>
      <c r="G19" s="39"/>
      <c r="H19" s="55"/>
      <c r="I19" s="56"/>
      <c r="J19" s="57"/>
      <c r="K19" s="39"/>
      <c r="L19" s="39"/>
      <c r="M19" s="39"/>
      <c r="N19" s="40"/>
      <c r="O19" s="41"/>
      <c r="P19" s="39"/>
      <c r="Q19" s="39"/>
      <c r="R19" s="39"/>
      <c r="S19" s="39"/>
      <c r="T19" s="40"/>
      <c r="U19" s="41"/>
      <c r="V19" s="39"/>
      <c r="W19" s="39"/>
      <c r="X19" s="39"/>
      <c r="Y19" s="39"/>
      <c r="Z19" s="40"/>
    </row>
    <row r="20" spans="1:26" ht="30" customHeight="1" x14ac:dyDescent="0.25">
      <c r="A20" s="91"/>
      <c r="B20" s="36" t="s">
        <v>36</v>
      </c>
      <c r="C20" s="41"/>
      <c r="D20" s="39"/>
      <c r="E20" s="39"/>
      <c r="F20" s="39"/>
      <c r="G20" s="39"/>
      <c r="H20" s="40"/>
      <c r="I20" s="56"/>
      <c r="J20" s="57"/>
      <c r="K20" s="39"/>
      <c r="L20" s="39"/>
      <c r="M20" s="39"/>
      <c r="N20" s="40"/>
      <c r="O20" s="41"/>
      <c r="P20" s="39"/>
      <c r="Q20" s="39"/>
      <c r="R20" s="39"/>
      <c r="S20" s="39"/>
      <c r="T20" s="40"/>
      <c r="U20" s="41"/>
      <c r="V20" s="39"/>
      <c r="W20" s="39"/>
      <c r="X20" s="39"/>
      <c r="Y20" s="39"/>
      <c r="Z20" s="40"/>
    </row>
    <row r="21" spans="1:26" ht="30" customHeight="1" x14ac:dyDescent="0.25">
      <c r="A21" s="91"/>
      <c r="B21" s="36" t="s">
        <v>37</v>
      </c>
      <c r="C21" s="41"/>
      <c r="D21" s="39"/>
      <c r="E21" s="39"/>
      <c r="F21" s="39"/>
      <c r="G21" s="39"/>
      <c r="H21" s="40"/>
      <c r="I21" s="41"/>
      <c r="J21" s="39"/>
      <c r="K21" s="57"/>
      <c r="L21" s="57"/>
      <c r="M21" s="57"/>
      <c r="N21" s="40"/>
      <c r="O21" s="41"/>
      <c r="P21" s="39"/>
      <c r="Q21" s="39"/>
      <c r="R21" s="39"/>
      <c r="S21" s="39"/>
      <c r="T21" s="40"/>
      <c r="U21" s="41"/>
      <c r="V21" s="39"/>
      <c r="W21" s="39"/>
      <c r="X21" s="39"/>
      <c r="Y21" s="39"/>
      <c r="Z21" s="40"/>
    </row>
    <row r="22" spans="1:26" ht="30" customHeight="1" x14ac:dyDescent="0.25">
      <c r="A22" s="91"/>
      <c r="B22" s="36" t="s">
        <v>38</v>
      </c>
      <c r="C22" s="41"/>
      <c r="D22" s="39"/>
      <c r="E22" s="39"/>
      <c r="F22" s="39"/>
      <c r="G22" s="39"/>
      <c r="H22" s="40"/>
      <c r="I22" s="41"/>
      <c r="J22" s="39"/>
      <c r="K22" s="39"/>
      <c r="L22" s="39"/>
      <c r="M22" s="39"/>
      <c r="N22" s="55"/>
      <c r="O22" s="56"/>
      <c r="P22" s="57"/>
      <c r="Q22" s="57"/>
      <c r="R22" s="57"/>
      <c r="S22" s="57"/>
      <c r="T22" s="40"/>
      <c r="U22" s="41"/>
      <c r="V22" s="39"/>
      <c r="W22" s="39"/>
      <c r="X22" s="39"/>
      <c r="Y22" s="39"/>
      <c r="Z22" s="40"/>
    </row>
    <row r="23" spans="1:26" ht="30" customHeight="1" x14ac:dyDescent="0.25">
      <c r="A23" s="91"/>
      <c r="B23" s="36" t="s">
        <v>39</v>
      </c>
      <c r="C23" s="41"/>
      <c r="D23" s="39"/>
      <c r="E23" s="39"/>
      <c r="F23" s="39"/>
      <c r="G23" s="39"/>
      <c r="H23" s="40"/>
      <c r="I23" s="41"/>
      <c r="J23" s="39"/>
      <c r="K23" s="58"/>
      <c r="L23" s="58"/>
      <c r="M23" s="58"/>
      <c r="N23" s="59"/>
      <c r="O23" s="60"/>
      <c r="P23" s="58"/>
      <c r="Q23" s="58"/>
      <c r="R23" s="58"/>
      <c r="S23" s="58"/>
      <c r="T23" s="59"/>
      <c r="U23" s="60"/>
      <c r="V23" s="39"/>
      <c r="W23" s="39"/>
      <c r="X23" s="39"/>
      <c r="Y23" s="39"/>
      <c r="Z23" s="40"/>
    </row>
    <row r="24" spans="1:26" ht="30" customHeight="1" x14ac:dyDescent="0.25">
      <c r="A24" s="103" t="s">
        <v>40</v>
      </c>
      <c r="B24" s="36" t="s">
        <v>41</v>
      </c>
      <c r="C24" s="41"/>
      <c r="D24" s="39"/>
      <c r="E24" s="39"/>
      <c r="F24" s="39"/>
      <c r="G24" s="61"/>
      <c r="H24" s="62"/>
      <c r="I24" s="63"/>
      <c r="J24" s="61"/>
      <c r="K24" s="39"/>
      <c r="L24" s="39"/>
      <c r="M24" s="39"/>
      <c r="N24" s="40"/>
      <c r="O24" s="41"/>
      <c r="P24" s="39"/>
      <c r="Q24" s="39"/>
      <c r="R24" s="39"/>
      <c r="S24" s="39"/>
      <c r="T24" s="40"/>
      <c r="U24" s="41"/>
      <c r="V24" s="39"/>
      <c r="W24" s="39"/>
      <c r="X24" s="39"/>
      <c r="Y24" s="39"/>
      <c r="Z24" s="40"/>
    </row>
    <row r="25" spans="1:26" ht="30" customHeight="1" x14ac:dyDescent="0.25">
      <c r="A25" s="91"/>
      <c r="B25" s="36" t="s">
        <v>42</v>
      </c>
      <c r="C25" s="41"/>
      <c r="D25" s="39"/>
      <c r="E25" s="39"/>
      <c r="F25" s="39"/>
      <c r="G25" s="61"/>
      <c r="H25" s="62"/>
      <c r="I25" s="63"/>
      <c r="J25" s="39"/>
      <c r="K25" s="39"/>
      <c r="L25" s="39"/>
      <c r="M25" s="39"/>
      <c r="N25" s="40"/>
      <c r="O25" s="41"/>
      <c r="P25" s="39"/>
      <c r="Q25" s="39"/>
      <c r="R25" s="39"/>
      <c r="S25" s="39"/>
      <c r="T25" s="40"/>
      <c r="U25" s="41"/>
      <c r="V25" s="39"/>
      <c r="W25" s="39"/>
      <c r="X25" s="39"/>
      <c r="Y25" s="39"/>
      <c r="Z25" s="40"/>
    </row>
    <row r="26" spans="1:26" ht="30" customHeight="1" x14ac:dyDescent="0.25">
      <c r="A26" s="91"/>
      <c r="B26" s="36" t="s">
        <v>43</v>
      </c>
      <c r="C26" s="41"/>
      <c r="D26" s="39"/>
      <c r="E26" s="39"/>
      <c r="F26" s="39"/>
      <c r="G26" s="39"/>
      <c r="H26" s="40"/>
      <c r="I26" s="41"/>
      <c r="J26" s="64"/>
      <c r="K26" s="64"/>
      <c r="L26" s="64"/>
      <c r="M26" s="64"/>
      <c r="N26" s="65"/>
      <c r="O26" s="66"/>
      <c r="P26" s="64"/>
      <c r="Q26" s="64"/>
      <c r="R26" s="64"/>
      <c r="S26" s="64"/>
      <c r="T26" s="65"/>
      <c r="U26" s="66"/>
      <c r="V26" s="64"/>
      <c r="W26" s="64"/>
      <c r="X26" s="39"/>
      <c r="Y26" s="39"/>
      <c r="Z26" s="40"/>
    </row>
    <row r="27" spans="1:26" ht="30" customHeight="1" x14ac:dyDescent="0.25">
      <c r="A27" s="90" t="s">
        <v>44</v>
      </c>
      <c r="B27" s="36" t="s">
        <v>45</v>
      </c>
      <c r="C27" s="41"/>
      <c r="D27" s="39"/>
      <c r="E27" s="39"/>
      <c r="F27" s="39"/>
      <c r="G27" s="39"/>
      <c r="H27" s="40"/>
      <c r="I27" s="41"/>
      <c r="J27" s="67"/>
      <c r="K27" s="67"/>
      <c r="L27" s="67"/>
      <c r="M27" s="67"/>
      <c r="N27" s="40"/>
      <c r="O27" s="41"/>
      <c r="P27" s="39"/>
      <c r="Q27" s="39"/>
      <c r="R27" s="39"/>
      <c r="S27" s="39"/>
      <c r="T27" s="40"/>
      <c r="U27" s="41"/>
      <c r="V27" s="39"/>
      <c r="W27" s="39"/>
      <c r="X27" s="39"/>
      <c r="Y27" s="39"/>
      <c r="Z27" s="40"/>
    </row>
    <row r="28" spans="1:26" ht="30" customHeight="1" x14ac:dyDescent="0.25">
      <c r="A28" s="91"/>
      <c r="B28" s="36" t="s">
        <v>46</v>
      </c>
      <c r="C28" s="41"/>
      <c r="D28" s="39"/>
      <c r="E28" s="39"/>
      <c r="F28" s="39"/>
      <c r="G28" s="39"/>
      <c r="H28" s="40"/>
      <c r="I28" s="41"/>
      <c r="J28" s="39"/>
      <c r="K28" s="39"/>
      <c r="L28" s="39"/>
      <c r="M28" s="67"/>
      <c r="N28" s="68"/>
      <c r="O28" s="69"/>
      <c r="P28" s="67"/>
      <c r="Q28" s="67"/>
      <c r="R28" s="39"/>
      <c r="S28" s="39"/>
      <c r="T28" s="40"/>
      <c r="U28" s="41"/>
      <c r="V28" s="39"/>
      <c r="W28" s="39"/>
      <c r="X28" s="39"/>
      <c r="Y28" s="39"/>
      <c r="Z28" s="40"/>
    </row>
    <row r="29" spans="1:26" ht="30" customHeight="1" x14ac:dyDescent="0.25">
      <c r="A29" s="91"/>
      <c r="B29" s="36" t="s">
        <v>47</v>
      </c>
      <c r="C29" s="41"/>
      <c r="D29" s="39"/>
      <c r="E29" s="39"/>
      <c r="F29" s="39"/>
      <c r="G29" s="39"/>
      <c r="H29" s="40"/>
      <c r="I29" s="41"/>
      <c r="J29" s="39"/>
      <c r="K29" s="39"/>
      <c r="L29" s="39"/>
      <c r="M29" s="39"/>
      <c r="N29" s="40"/>
      <c r="O29" s="41"/>
      <c r="P29" s="39"/>
      <c r="Q29" s="67"/>
      <c r="R29" s="67"/>
      <c r="S29" s="67"/>
      <c r="T29" s="68"/>
      <c r="U29" s="69"/>
      <c r="V29" s="67"/>
      <c r="W29" s="67"/>
      <c r="X29" s="39"/>
      <c r="Y29" s="39"/>
      <c r="Z29" s="40"/>
    </row>
    <row r="30" spans="1:26" ht="30" customHeight="1" x14ac:dyDescent="0.25">
      <c r="A30" s="91"/>
      <c r="B30" s="36" t="s">
        <v>48</v>
      </c>
      <c r="C30" s="41"/>
      <c r="D30" s="39"/>
      <c r="E30" s="39"/>
      <c r="F30" s="39"/>
      <c r="G30" s="39"/>
      <c r="H30" s="40"/>
      <c r="I30" s="41"/>
      <c r="J30" s="70"/>
      <c r="K30" s="70"/>
      <c r="L30" s="70"/>
      <c r="M30" s="70"/>
      <c r="N30" s="71"/>
      <c r="O30" s="72"/>
      <c r="P30" s="70"/>
      <c r="Q30" s="70"/>
      <c r="R30" s="70"/>
      <c r="S30" s="70"/>
      <c r="T30" s="71"/>
      <c r="U30" s="72"/>
      <c r="V30" s="70"/>
      <c r="W30" s="70"/>
      <c r="X30" s="39"/>
      <c r="Y30" s="39"/>
      <c r="Z30" s="40"/>
    </row>
    <row r="31" spans="1:26" ht="30" customHeight="1" thickBot="1" x14ac:dyDescent="0.3">
      <c r="A31" s="73" t="s">
        <v>49</v>
      </c>
      <c r="B31" s="36" t="s">
        <v>50</v>
      </c>
      <c r="C31" s="74"/>
      <c r="D31" s="75"/>
      <c r="E31" s="75"/>
      <c r="F31" s="75"/>
      <c r="G31" s="75"/>
      <c r="H31" s="76"/>
      <c r="I31" s="74"/>
      <c r="J31" s="75"/>
      <c r="K31" s="77"/>
      <c r="L31" s="77"/>
      <c r="M31" s="77"/>
      <c r="N31" s="78"/>
      <c r="O31" s="79"/>
      <c r="P31" s="77"/>
      <c r="Q31" s="77"/>
      <c r="R31" s="77"/>
      <c r="S31" s="77"/>
      <c r="T31" s="78"/>
      <c r="U31" s="79"/>
      <c r="V31" s="77"/>
      <c r="W31" s="77"/>
      <c r="X31" s="77"/>
      <c r="Y31" s="75"/>
      <c r="Z31" s="76"/>
    </row>
    <row r="33" spans="2:26" x14ac:dyDescent="0.25">
      <c r="D33" s="80" t="s">
        <v>51</v>
      </c>
    </row>
    <row r="34" spans="2:26" x14ac:dyDescent="0.25">
      <c r="B34" s="81"/>
    </row>
    <row r="35" spans="2:26" ht="15" customHeight="1" x14ac:dyDescent="0.25">
      <c r="D35" s="82"/>
      <c r="E35" s="105" t="s">
        <v>19</v>
      </c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</row>
    <row r="36" spans="2:26" ht="15" customHeight="1" x14ac:dyDescent="0.25">
      <c r="D36" s="83"/>
      <c r="E36" s="105" t="s">
        <v>24</v>
      </c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</row>
    <row r="37" spans="2:26" ht="15" customHeight="1" x14ac:dyDescent="0.25">
      <c r="D37" s="84"/>
      <c r="E37" s="105" t="s">
        <v>28</v>
      </c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</row>
    <row r="38" spans="2:26" ht="15" customHeight="1" x14ac:dyDescent="0.25">
      <c r="D38" s="85"/>
      <c r="E38" s="105" t="s">
        <v>34</v>
      </c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</row>
    <row r="39" spans="2:26" ht="15" customHeight="1" x14ac:dyDescent="0.25">
      <c r="D39" s="86"/>
      <c r="E39" s="105" t="s">
        <v>52</v>
      </c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</row>
    <row r="40" spans="2:26" ht="15" customHeight="1" x14ac:dyDescent="0.25">
      <c r="D40" s="87"/>
      <c r="E40" s="105" t="s">
        <v>44</v>
      </c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</row>
    <row r="41" spans="2:26" ht="15" customHeight="1" x14ac:dyDescent="0.25">
      <c r="D41" s="88"/>
      <c r="E41" s="105" t="s">
        <v>49</v>
      </c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</row>
    <row r="43" spans="2:26" ht="15" customHeight="1" x14ac:dyDescent="0.25">
      <c r="E43" s="105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</row>
    <row r="44" spans="2:26" ht="15" customHeight="1" x14ac:dyDescent="0.25">
      <c r="E44" s="105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</row>
    <row r="46" spans="2:26" ht="15" customHeight="1" x14ac:dyDescent="0.25">
      <c r="E46" s="106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</row>
    <row r="47" spans="2:26" x14ac:dyDescent="0.25">
      <c r="B47" s="107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9" spans="2:26" x14ac:dyDescent="0.25">
      <c r="B49" s="104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08" t="s">
        <v>53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</row>
    <row r="2" spans="1:18" ht="15" customHeight="1" x14ac:dyDescent="0.25">
      <c r="A2" s="112" t="s">
        <v>54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</row>
    <row r="3" spans="1:18" ht="15" customHeight="1" x14ac:dyDescent="0.25">
      <c r="A3" s="113" t="s">
        <v>55</v>
      </c>
      <c r="B3" s="109"/>
      <c r="C3" s="109"/>
    </row>
    <row r="4" spans="1:18" ht="15" customHeight="1" x14ac:dyDescent="0.25">
      <c r="A4" s="111" t="s">
        <v>56</v>
      </c>
      <c r="B4" s="109"/>
      <c r="C4" s="26">
        <v>46235</v>
      </c>
      <c r="D4" s="31" t="s">
        <v>57</v>
      </c>
    </row>
    <row r="5" spans="1:18" ht="15" customHeight="1" x14ac:dyDescent="0.25">
      <c r="A5" s="111" t="s">
        <v>58</v>
      </c>
      <c r="B5" s="109"/>
      <c r="C5" s="2">
        <v>5</v>
      </c>
      <c r="D5" s="1" t="s">
        <v>59</v>
      </c>
    </row>
    <row r="6" spans="1:18" ht="15" customHeight="1" x14ac:dyDescent="0.25">
      <c r="A6" s="110" t="s">
        <v>60</v>
      </c>
      <c r="B6" s="109"/>
      <c r="C6" s="3">
        <f>15/MAX(C5,1)</f>
        <v>3</v>
      </c>
    </row>
    <row r="7" spans="1:18" ht="15" customHeight="1" x14ac:dyDescent="0.25">
      <c r="A7" s="114" t="s">
        <v>61</v>
      </c>
      <c r="B7" s="109"/>
      <c r="C7" s="109"/>
    </row>
    <row r="8" spans="1:18" ht="15" customHeight="1" x14ac:dyDescent="0.25">
      <c r="A8" s="111" t="s">
        <v>62</v>
      </c>
      <c r="B8" s="109"/>
      <c r="C8" s="2">
        <v>30</v>
      </c>
      <c r="D8" s="1" t="s">
        <v>63</v>
      </c>
    </row>
    <row r="9" spans="1:18" ht="15" customHeight="1" x14ac:dyDescent="0.25">
      <c r="A9" s="111" t="s">
        <v>64</v>
      </c>
      <c r="B9" s="109"/>
      <c r="C9" s="2">
        <v>5</v>
      </c>
    </row>
    <row r="10" spans="1:18" ht="15" customHeight="1" x14ac:dyDescent="0.25">
      <c r="A10" s="111" t="s">
        <v>65</v>
      </c>
      <c r="B10" s="109"/>
      <c r="C10" s="2">
        <v>15</v>
      </c>
      <c r="D10" s="1" t="s">
        <v>66</v>
      </c>
    </row>
    <row r="11" spans="1:18" ht="15" customHeight="1" x14ac:dyDescent="0.25">
      <c r="A11" s="111" t="s">
        <v>67</v>
      </c>
      <c r="B11" s="109"/>
      <c r="C11" s="2">
        <v>5</v>
      </c>
    </row>
    <row r="12" spans="1:18" ht="15" customHeight="1" x14ac:dyDescent="0.25">
      <c r="A12" s="111" t="s">
        <v>68</v>
      </c>
      <c r="B12" s="109"/>
      <c r="C12" s="2">
        <v>7</v>
      </c>
      <c r="D12" s="1" t="s">
        <v>69</v>
      </c>
    </row>
    <row r="13" spans="1:18" ht="15" customHeight="1" x14ac:dyDescent="0.25">
      <c r="A13" s="111" t="s">
        <v>70</v>
      </c>
      <c r="B13" s="109"/>
      <c r="C13" s="4">
        <f>C8+C9+C10+C11</f>
        <v>55</v>
      </c>
    </row>
    <row r="14" spans="1:18" ht="15" customHeight="1" x14ac:dyDescent="0.25">
      <c r="A14" s="111" t="s">
        <v>71</v>
      </c>
      <c r="B14" s="109"/>
      <c r="C14" s="28">
        <f ca="1">TODAY()</f>
        <v>46237</v>
      </c>
    </row>
    <row r="15" spans="1:18" ht="15" customHeight="1" x14ac:dyDescent="0.25">
      <c r="M15" s="115" t="s">
        <v>72</v>
      </c>
      <c r="N15" s="109"/>
      <c r="O15" s="109"/>
      <c r="P15" s="109"/>
      <c r="Q15" s="109"/>
      <c r="R15" s="109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30">
        <f t="shared" ref="E18:E49" si="0">$C$4+ROUND((A18-1)*15/MAX($C$5,1),0)</f>
        <v>46235</v>
      </c>
      <c r="F18" s="30">
        <f t="shared" ref="F18:F49" si="1">E18-$C$11</f>
        <v>46230</v>
      </c>
      <c r="G18" s="30">
        <f t="shared" ref="G18:G49" si="2">F18-$C$10</f>
        <v>46215</v>
      </c>
      <c r="H18" s="30">
        <f t="shared" ref="H18:H49" si="3">G18-$C$9</f>
        <v>46210</v>
      </c>
      <c r="I18" s="30">
        <f t="shared" ref="I18:I49" si="4">H18-$C$8</f>
        <v>46180</v>
      </c>
      <c r="J18" s="30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30">
        <f t="shared" si="0"/>
        <v>46238</v>
      </c>
      <c r="F19" s="30">
        <f t="shared" si="1"/>
        <v>46233</v>
      </c>
      <c r="G19" s="30">
        <f t="shared" si="2"/>
        <v>46218</v>
      </c>
      <c r="H19" s="30">
        <f t="shared" si="3"/>
        <v>46213</v>
      </c>
      <c r="I19" s="30">
        <f t="shared" si="4"/>
        <v>46183</v>
      </c>
      <c r="J19" s="30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30">
        <f t="shared" si="0"/>
        <v>46241</v>
      </c>
      <c r="F20" s="30">
        <f t="shared" si="1"/>
        <v>46236</v>
      </c>
      <c r="G20" s="30">
        <f t="shared" si="2"/>
        <v>46221</v>
      </c>
      <c r="H20" s="30">
        <f t="shared" si="3"/>
        <v>46216</v>
      </c>
      <c r="I20" s="30">
        <f t="shared" si="4"/>
        <v>46186</v>
      </c>
      <c r="J20" s="30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30">
        <f t="shared" si="0"/>
        <v>46244</v>
      </c>
      <c r="F21" s="30">
        <f t="shared" si="1"/>
        <v>46239</v>
      </c>
      <c r="G21" s="30">
        <f t="shared" si="2"/>
        <v>46224</v>
      </c>
      <c r="H21" s="30">
        <f t="shared" si="3"/>
        <v>46219</v>
      </c>
      <c r="I21" s="30">
        <f t="shared" si="4"/>
        <v>46189</v>
      </c>
      <c r="J21" s="30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30">
        <f t="shared" si="0"/>
        <v>46247</v>
      </c>
      <c r="F22" s="30">
        <f t="shared" si="1"/>
        <v>46242</v>
      </c>
      <c r="G22" s="30">
        <f t="shared" si="2"/>
        <v>46227</v>
      </c>
      <c r="H22" s="30">
        <f t="shared" si="3"/>
        <v>46222</v>
      </c>
      <c r="I22" s="30">
        <f t="shared" si="4"/>
        <v>46192</v>
      </c>
      <c r="J22" s="30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30">
        <f t="shared" si="0"/>
        <v>46250</v>
      </c>
      <c r="F23" s="30">
        <f t="shared" si="1"/>
        <v>46245</v>
      </c>
      <c r="G23" s="30">
        <f t="shared" si="2"/>
        <v>46230</v>
      </c>
      <c r="H23" s="30">
        <f t="shared" si="3"/>
        <v>46225</v>
      </c>
      <c r="I23" s="30">
        <f t="shared" si="4"/>
        <v>46195</v>
      </c>
      <c r="J23" s="30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30">
        <f t="shared" si="0"/>
        <v>46253</v>
      </c>
      <c r="F24" s="30">
        <f t="shared" si="1"/>
        <v>46248</v>
      </c>
      <c r="G24" s="30">
        <f t="shared" si="2"/>
        <v>46233</v>
      </c>
      <c r="H24" s="30">
        <f t="shared" si="3"/>
        <v>46228</v>
      </c>
      <c r="I24" s="30">
        <f t="shared" si="4"/>
        <v>46198</v>
      </c>
      <c r="J24" s="30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30">
        <f t="shared" si="0"/>
        <v>46256</v>
      </c>
      <c r="F25" s="30">
        <f t="shared" si="1"/>
        <v>46251</v>
      </c>
      <c r="G25" s="30">
        <f t="shared" si="2"/>
        <v>46236</v>
      </c>
      <c r="H25" s="30">
        <f t="shared" si="3"/>
        <v>46231</v>
      </c>
      <c r="I25" s="30">
        <f t="shared" si="4"/>
        <v>46201</v>
      </c>
      <c r="J25" s="30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30">
        <f t="shared" si="0"/>
        <v>46259</v>
      </c>
      <c r="F26" s="30">
        <f t="shared" si="1"/>
        <v>46254</v>
      </c>
      <c r="G26" s="30">
        <f t="shared" si="2"/>
        <v>46239</v>
      </c>
      <c r="H26" s="30">
        <f t="shared" si="3"/>
        <v>46234</v>
      </c>
      <c r="I26" s="30">
        <f t="shared" si="4"/>
        <v>46204</v>
      </c>
      <c r="J26" s="30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30">
        <f t="shared" si="0"/>
        <v>46262</v>
      </c>
      <c r="F27" s="30">
        <f t="shared" si="1"/>
        <v>46257</v>
      </c>
      <c r="G27" s="30">
        <f t="shared" si="2"/>
        <v>46242</v>
      </c>
      <c r="H27" s="30">
        <f t="shared" si="3"/>
        <v>46237</v>
      </c>
      <c r="I27" s="30">
        <f t="shared" si="4"/>
        <v>46207</v>
      </c>
      <c r="J27" s="30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30">
        <f t="shared" si="0"/>
        <v>46265</v>
      </c>
      <c r="F28" s="30">
        <f t="shared" si="1"/>
        <v>46260</v>
      </c>
      <c r="G28" s="30">
        <f t="shared" si="2"/>
        <v>46245</v>
      </c>
      <c r="H28" s="30">
        <f t="shared" si="3"/>
        <v>46240</v>
      </c>
      <c r="I28" s="30">
        <f t="shared" si="4"/>
        <v>46210</v>
      </c>
      <c r="J28" s="30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30">
        <f t="shared" si="0"/>
        <v>46268</v>
      </c>
      <c r="F29" s="30">
        <f t="shared" si="1"/>
        <v>46263</v>
      </c>
      <c r="G29" s="30">
        <f t="shared" si="2"/>
        <v>46248</v>
      </c>
      <c r="H29" s="30">
        <f t="shared" si="3"/>
        <v>46243</v>
      </c>
      <c r="I29" s="30">
        <f t="shared" si="4"/>
        <v>46213</v>
      </c>
      <c r="J29" s="30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30">
        <f t="shared" si="0"/>
        <v>46271</v>
      </c>
      <c r="F30" s="30">
        <f t="shared" si="1"/>
        <v>46266</v>
      </c>
      <c r="G30" s="30">
        <f t="shared" si="2"/>
        <v>46251</v>
      </c>
      <c r="H30" s="30">
        <f t="shared" si="3"/>
        <v>46246</v>
      </c>
      <c r="I30" s="30">
        <f t="shared" si="4"/>
        <v>46216</v>
      </c>
      <c r="J30" s="30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30">
        <f t="shared" si="0"/>
        <v>46274</v>
      </c>
      <c r="F31" s="30">
        <f t="shared" si="1"/>
        <v>46269</v>
      </c>
      <c r="G31" s="30">
        <f t="shared" si="2"/>
        <v>46254</v>
      </c>
      <c r="H31" s="30">
        <f t="shared" si="3"/>
        <v>46249</v>
      </c>
      <c r="I31" s="30">
        <f t="shared" si="4"/>
        <v>46219</v>
      </c>
      <c r="J31" s="30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30">
        <f t="shared" si="0"/>
        <v>46277</v>
      </c>
      <c r="F32" s="30">
        <f t="shared" si="1"/>
        <v>46272</v>
      </c>
      <c r="G32" s="30">
        <f t="shared" si="2"/>
        <v>46257</v>
      </c>
      <c r="H32" s="30">
        <f t="shared" si="3"/>
        <v>46252</v>
      </c>
      <c r="I32" s="30">
        <f t="shared" si="4"/>
        <v>46222</v>
      </c>
      <c r="J32" s="30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30">
        <f t="shared" si="0"/>
        <v>46280</v>
      </c>
      <c r="F33" s="30">
        <f t="shared" si="1"/>
        <v>46275</v>
      </c>
      <c r="G33" s="30">
        <f t="shared" si="2"/>
        <v>46260</v>
      </c>
      <c r="H33" s="30">
        <f t="shared" si="3"/>
        <v>46255</v>
      </c>
      <c r="I33" s="30">
        <f t="shared" si="4"/>
        <v>46225</v>
      </c>
      <c r="J33" s="30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30">
        <f t="shared" si="0"/>
        <v>46283</v>
      </c>
      <c r="F34" s="30">
        <f t="shared" si="1"/>
        <v>46278</v>
      </c>
      <c r="G34" s="30">
        <f t="shared" si="2"/>
        <v>46263</v>
      </c>
      <c r="H34" s="30">
        <f t="shared" si="3"/>
        <v>46258</v>
      </c>
      <c r="I34" s="30">
        <f t="shared" si="4"/>
        <v>46228</v>
      </c>
      <c r="J34" s="30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30">
        <f t="shared" si="0"/>
        <v>46286</v>
      </c>
      <c r="F35" s="30">
        <f t="shared" si="1"/>
        <v>46281</v>
      </c>
      <c r="G35" s="30">
        <f t="shared" si="2"/>
        <v>46266</v>
      </c>
      <c r="H35" s="30">
        <f t="shared" si="3"/>
        <v>46261</v>
      </c>
      <c r="I35" s="30">
        <f t="shared" si="4"/>
        <v>46231</v>
      </c>
      <c r="J35" s="30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30">
        <f t="shared" si="0"/>
        <v>46289</v>
      </c>
      <c r="F36" s="30">
        <f t="shared" si="1"/>
        <v>46284</v>
      </c>
      <c r="G36" s="30">
        <f t="shared" si="2"/>
        <v>46269</v>
      </c>
      <c r="H36" s="30">
        <f t="shared" si="3"/>
        <v>46264</v>
      </c>
      <c r="I36" s="30">
        <f t="shared" si="4"/>
        <v>46234</v>
      </c>
      <c r="J36" s="30">
        <f t="shared" si="5"/>
        <v>46296</v>
      </c>
      <c r="K36" s="7" t="str">
        <f t="shared" ca="1" si="6"/>
        <v>⚠ Amont à lancer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30">
        <f t="shared" si="0"/>
        <v>46292</v>
      </c>
      <c r="F37" s="30">
        <f t="shared" si="1"/>
        <v>46287</v>
      </c>
      <c r="G37" s="30">
        <f t="shared" si="2"/>
        <v>46272</v>
      </c>
      <c r="H37" s="30">
        <f t="shared" si="3"/>
        <v>46267</v>
      </c>
      <c r="I37" s="30">
        <f t="shared" si="4"/>
        <v>46237</v>
      </c>
      <c r="J37" s="30">
        <f t="shared" si="5"/>
        <v>46299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30">
        <f t="shared" si="0"/>
        <v>46295</v>
      </c>
      <c r="F38" s="30">
        <f t="shared" si="1"/>
        <v>46290</v>
      </c>
      <c r="G38" s="30">
        <f t="shared" si="2"/>
        <v>46275</v>
      </c>
      <c r="H38" s="30">
        <f t="shared" si="3"/>
        <v>46270</v>
      </c>
      <c r="I38" s="30">
        <f t="shared" si="4"/>
        <v>46240</v>
      </c>
      <c r="J38" s="30">
        <f t="shared" si="5"/>
        <v>46302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30">
        <f t="shared" si="0"/>
        <v>46298</v>
      </c>
      <c r="F39" s="30">
        <f t="shared" si="1"/>
        <v>46293</v>
      </c>
      <c r="G39" s="30">
        <f t="shared" si="2"/>
        <v>46278</v>
      </c>
      <c r="H39" s="30">
        <f t="shared" si="3"/>
        <v>46273</v>
      </c>
      <c r="I39" s="30">
        <f t="shared" si="4"/>
        <v>46243</v>
      </c>
      <c r="J39" s="30">
        <f t="shared" si="5"/>
        <v>46305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30">
        <f t="shared" ref="E40" si="10">$C$4+ROUND((A40-1)*15/MAX($C$5,1),0)</f>
        <v>46301</v>
      </c>
      <c r="F40" s="30">
        <f t="shared" si="1"/>
        <v>46296</v>
      </c>
      <c r="G40" s="30">
        <f t="shared" si="2"/>
        <v>46281</v>
      </c>
      <c r="H40" s="30">
        <f t="shared" si="3"/>
        <v>46276</v>
      </c>
      <c r="I40" s="30">
        <f t="shared" si="4"/>
        <v>46246</v>
      </c>
      <c r="J40" s="30">
        <f t="shared" ref="J40" si="11">E40+$C$12</f>
        <v>46308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30">
        <f t="shared" si="0"/>
        <v>46304</v>
      </c>
      <c r="F41" s="30">
        <f t="shared" si="1"/>
        <v>46299</v>
      </c>
      <c r="G41" s="30">
        <f t="shared" si="2"/>
        <v>46284</v>
      </c>
      <c r="H41" s="30">
        <f t="shared" si="3"/>
        <v>46279</v>
      </c>
      <c r="I41" s="30">
        <f t="shared" si="4"/>
        <v>46249</v>
      </c>
      <c r="J41" s="30">
        <f t="shared" si="5"/>
        <v>46311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30">
        <f t="shared" si="0"/>
        <v>46307</v>
      </c>
      <c r="F42" s="30">
        <f t="shared" si="1"/>
        <v>46302</v>
      </c>
      <c r="G42" s="30">
        <f t="shared" si="2"/>
        <v>46287</v>
      </c>
      <c r="H42" s="30">
        <f t="shared" si="3"/>
        <v>46282</v>
      </c>
      <c r="I42" s="30">
        <f t="shared" si="4"/>
        <v>46252</v>
      </c>
      <c r="J42" s="30">
        <f t="shared" si="5"/>
        <v>46314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30">
        <f t="shared" si="0"/>
        <v>46310</v>
      </c>
      <c r="F43" s="30">
        <f t="shared" si="1"/>
        <v>46305</v>
      </c>
      <c r="G43" s="30">
        <f t="shared" si="2"/>
        <v>46290</v>
      </c>
      <c r="H43" s="30">
        <f t="shared" si="3"/>
        <v>46285</v>
      </c>
      <c r="I43" s="30">
        <f t="shared" si="4"/>
        <v>46255</v>
      </c>
      <c r="J43" s="30">
        <f t="shared" si="5"/>
        <v>46317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30">
        <f t="shared" si="0"/>
        <v>46313</v>
      </c>
      <c r="F44" s="30">
        <f t="shared" si="1"/>
        <v>46308</v>
      </c>
      <c r="G44" s="30">
        <f t="shared" si="2"/>
        <v>46293</v>
      </c>
      <c r="H44" s="30">
        <f t="shared" si="3"/>
        <v>46288</v>
      </c>
      <c r="I44" s="30">
        <f t="shared" si="4"/>
        <v>46258</v>
      </c>
      <c r="J44" s="30">
        <f t="shared" si="5"/>
        <v>46320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30">
        <f t="shared" si="0"/>
        <v>46316</v>
      </c>
      <c r="F45" s="30">
        <f t="shared" si="1"/>
        <v>46311</v>
      </c>
      <c r="G45" s="30">
        <f t="shared" si="2"/>
        <v>46296</v>
      </c>
      <c r="H45" s="30">
        <f t="shared" si="3"/>
        <v>46291</v>
      </c>
      <c r="I45" s="30">
        <f t="shared" si="4"/>
        <v>46261</v>
      </c>
      <c r="J45" s="30">
        <f t="shared" si="5"/>
        <v>46323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30">
        <f t="shared" si="0"/>
        <v>46319</v>
      </c>
      <c r="F46" s="30">
        <f t="shared" si="1"/>
        <v>46314</v>
      </c>
      <c r="G46" s="30">
        <f t="shared" si="2"/>
        <v>46299</v>
      </c>
      <c r="H46" s="30">
        <f t="shared" si="3"/>
        <v>46294</v>
      </c>
      <c r="I46" s="30">
        <f t="shared" si="4"/>
        <v>46264</v>
      </c>
      <c r="J46" s="30">
        <f t="shared" si="5"/>
        <v>46326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30">
        <f t="shared" si="0"/>
        <v>46322</v>
      </c>
      <c r="F47" s="30">
        <f t="shared" si="1"/>
        <v>46317</v>
      </c>
      <c r="G47" s="30">
        <f t="shared" si="2"/>
        <v>46302</v>
      </c>
      <c r="H47" s="30">
        <f t="shared" si="3"/>
        <v>46297</v>
      </c>
      <c r="I47" s="30">
        <f t="shared" si="4"/>
        <v>46267</v>
      </c>
      <c r="J47" s="30">
        <f t="shared" si="5"/>
        <v>46329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30">
        <f t="shared" si="0"/>
        <v>46325</v>
      </c>
      <c r="F48" s="30">
        <f t="shared" si="1"/>
        <v>46320</v>
      </c>
      <c r="G48" s="30">
        <f t="shared" si="2"/>
        <v>46305</v>
      </c>
      <c r="H48" s="30">
        <f t="shared" si="3"/>
        <v>46300</v>
      </c>
      <c r="I48" s="30">
        <f t="shared" si="4"/>
        <v>46270</v>
      </c>
      <c r="J48" s="30">
        <f t="shared" si="5"/>
        <v>46332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30">
        <f t="shared" si="0"/>
        <v>46328</v>
      </c>
      <c r="F49" s="30">
        <f t="shared" si="1"/>
        <v>46323</v>
      </c>
      <c r="G49" s="30">
        <f t="shared" si="2"/>
        <v>46308</v>
      </c>
      <c r="H49" s="30">
        <f t="shared" si="3"/>
        <v>46303</v>
      </c>
      <c r="I49" s="30">
        <f t="shared" si="4"/>
        <v>46273</v>
      </c>
      <c r="J49" s="30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30">
        <f t="shared" ref="E50:E81" si="13">$C$4+ROUND((A50-1)*15/MAX($C$5,1),0)</f>
        <v>46331</v>
      </c>
      <c r="F50" s="30">
        <f t="shared" ref="F50:F81" si="14">E50-$C$11</f>
        <v>46326</v>
      </c>
      <c r="G50" s="30">
        <f t="shared" ref="G50:G81" si="15">F50-$C$10</f>
        <v>46311</v>
      </c>
      <c r="H50" s="30">
        <f t="shared" ref="H50:H81" si="16">G50-$C$9</f>
        <v>46306</v>
      </c>
      <c r="I50" s="30">
        <f t="shared" ref="I50:I81" si="17">H50-$C$8</f>
        <v>46276</v>
      </c>
      <c r="J50" s="30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30">
        <f t="shared" si="13"/>
        <v>46334</v>
      </c>
      <c r="F51" s="30">
        <f t="shared" si="14"/>
        <v>46329</v>
      </c>
      <c r="G51" s="30">
        <f t="shared" si="15"/>
        <v>46314</v>
      </c>
      <c r="H51" s="30">
        <f t="shared" si="16"/>
        <v>46309</v>
      </c>
      <c r="I51" s="30">
        <f t="shared" si="17"/>
        <v>46279</v>
      </c>
      <c r="J51" s="30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30">
        <f t="shared" si="13"/>
        <v>46337</v>
      </c>
      <c r="F52" s="30">
        <f t="shared" si="14"/>
        <v>46332</v>
      </c>
      <c r="G52" s="30">
        <f t="shared" si="15"/>
        <v>46317</v>
      </c>
      <c r="H52" s="30">
        <f t="shared" si="16"/>
        <v>46312</v>
      </c>
      <c r="I52" s="30">
        <f t="shared" si="17"/>
        <v>46282</v>
      </c>
      <c r="J52" s="30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30">
        <f t="shared" si="13"/>
        <v>46340</v>
      </c>
      <c r="F53" s="30">
        <f t="shared" si="14"/>
        <v>46335</v>
      </c>
      <c r="G53" s="30">
        <f t="shared" si="15"/>
        <v>46320</v>
      </c>
      <c r="H53" s="30">
        <f t="shared" si="16"/>
        <v>46315</v>
      </c>
      <c r="I53" s="30">
        <f t="shared" si="17"/>
        <v>46285</v>
      </c>
      <c r="J53" s="30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30">
        <f t="shared" si="13"/>
        <v>46343</v>
      </c>
      <c r="F54" s="30">
        <f t="shared" si="14"/>
        <v>46338</v>
      </c>
      <c r="G54" s="30">
        <f t="shared" si="15"/>
        <v>46323</v>
      </c>
      <c r="H54" s="30">
        <f t="shared" si="16"/>
        <v>46318</v>
      </c>
      <c r="I54" s="30">
        <f t="shared" si="17"/>
        <v>46288</v>
      </c>
      <c r="J54" s="30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30">
        <f t="shared" si="13"/>
        <v>46346</v>
      </c>
      <c r="F55" s="30">
        <f t="shared" si="14"/>
        <v>46341</v>
      </c>
      <c r="G55" s="30">
        <f t="shared" si="15"/>
        <v>46326</v>
      </c>
      <c r="H55" s="30">
        <f t="shared" si="16"/>
        <v>46321</v>
      </c>
      <c r="I55" s="30">
        <f t="shared" si="17"/>
        <v>46291</v>
      </c>
      <c r="J55" s="30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30">
        <f t="shared" si="13"/>
        <v>46349</v>
      </c>
      <c r="F56" s="30">
        <f t="shared" si="14"/>
        <v>46344</v>
      </c>
      <c r="G56" s="30">
        <f t="shared" si="15"/>
        <v>46329</v>
      </c>
      <c r="H56" s="30">
        <f t="shared" si="16"/>
        <v>46324</v>
      </c>
      <c r="I56" s="30">
        <f t="shared" si="17"/>
        <v>46294</v>
      </c>
      <c r="J56" s="30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30">
        <f t="shared" si="13"/>
        <v>46352</v>
      </c>
      <c r="F57" s="30">
        <f t="shared" si="14"/>
        <v>46347</v>
      </c>
      <c r="G57" s="30">
        <f t="shared" si="15"/>
        <v>46332</v>
      </c>
      <c r="H57" s="30">
        <f t="shared" si="16"/>
        <v>46327</v>
      </c>
      <c r="I57" s="30">
        <f t="shared" si="17"/>
        <v>46297</v>
      </c>
      <c r="J57" s="30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30">
        <f t="shared" si="13"/>
        <v>46355</v>
      </c>
      <c r="F58" s="30">
        <f t="shared" si="14"/>
        <v>46350</v>
      </c>
      <c r="G58" s="30">
        <f t="shared" si="15"/>
        <v>46335</v>
      </c>
      <c r="H58" s="30">
        <f t="shared" si="16"/>
        <v>46330</v>
      </c>
      <c r="I58" s="30">
        <f t="shared" si="17"/>
        <v>46300</v>
      </c>
      <c r="J58" s="30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30">
        <f t="shared" si="13"/>
        <v>46358</v>
      </c>
      <c r="F59" s="30">
        <f t="shared" si="14"/>
        <v>46353</v>
      </c>
      <c r="G59" s="30">
        <f t="shared" si="15"/>
        <v>46338</v>
      </c>
      <c r="H59" s="30">
        <f t="shared" si="16"/>
        <v>46333</v>
      </c>
      <c r="I59" s="30">
        <f t="shared" si="17"/>
        <v>46303</v>
      </c>
      <c r="J59" s="30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30">
        <f t="shared" si="13"/>
        <v>46361</v>
      </c>
      <c r="F60" s="30">
        <f t="shared" si="14"/>
        <v>46356</v>
      </c>
      <c r="G60" s="30">
        <f t="shared" si="15"/>
        <v>46341</v>
      </c>
      <c r="H60" s="30">
        <f t="shared" si="16"/>
        <v>46336</v>
      </c>
      <c r="I60" s="30">
        <f t="shared" si="17"/>
        <v>46306</v>
      </c>
      <c r="J60" s="30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30">
        <f t="shared" si="13"/>
        <v>46364</v>
      </c>
      <c r="F61" s="30">
        <f t="shared" si="14"/>
        <v>46359</v>
      </c>
      <c r="G61" s="30">
        <f t="shared" si="15"/>
        <v>46344</v>
      </c>
      <c r="H61" s="30">
        <f t="shared" si="16"/>
        <v>46339</v>
      </c>
      <c r="I61" s="30">
        <f t="shared" si="17"/>
        <v>46309</v>
      </c>
      <c r="J61" s="30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30">
        <f t="shared" si="13"/>
        <v>46367</v>
      </c>
      <c r="F62" s="30">
        <f t="shared" si="14"/>
        <v>46362</v>
      </c>
      <c r="G62" s="30">
        <f t="shared" si="15"/>
        <v>46347</v>
      </c>
      <c r="H62" s="30">
        <f t="shared" si="16"/>
        <v>46342</v>
      </c>
      <c r="I62" s="30">
        <f t="shared" si="17"/>
        <v>46312</v>
      </c>
      <c r="J62" s="30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30">
        <f t="shared" si="13"/>
        <v>46370</v>
      </c>
      <c r="F63" s="30">
        <f t="shared" si="14"/>
        <v>46365</v>
      </c>
      <c r="G63" s="30">
        <f t="shared" si="15"/>
        <v>46350</v>
      </c>
      <c r="H63" s="30">
        <f t="shared" si="16"/>
        <v>46345</v>
      </c>
      <c r="I63" s="30">
        <f t="shared" si="17"/>
        <v>46315</v>
      </c>
      <c r="J63" s="30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30">
        <f t="shared" si="13"/>
        <v>46373</v>
      </c>
      <c r="F64" s="30">
        <f t="shared" si="14"/>
        <v>46368</v>
      </c>
      <c r="G64" s="30">
        <f t="shared" si="15"/>
        <v>46353</v>
      </c>
      <c r="H64" s="30">
        <f t="shared" si="16"/>
        <v>46348</v>
      </c>
      <c r="I64" s="30">
        <f t="shared" si="17"/>
        <v>46318</v>
      </c>
      <c r="J64" s="30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30">
        <f t="shared" si="13"/>
        <v>46376</v>
      </c>
      <c r="F65" s="30">
        <f t="shared" si="14"/>
        <v>46371</v>
      </c>
      <c r="G65" s="30">
        <f t="shared" si="15"/>
        <v>46356</v>
      </c>
      <c r="H65" s="30">
        <f t="shared" si="16"/>
        <v>46351</v>
      </c>
      <c r="I65" s="30">
        <f t="shared" si="17"/>
        <v>46321</v>
      </c>
      <c r="J65" s="30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30">
        <f t="shared" si="13"/>
        <v>46379</v>
      </c>
      <c r="F66" s="30">
        <f t="shared" si="14"/>
        <v>46374</v>
      </c>
      <c r="G66" s="30">
        <f t="shared" si="15"/>
        <v>46359</v>
      </c>
      <c r="H66" s="30">
        <f t="shared" si="16"/>
        <v>46354</v>
      </c>
      <c r="I66" s="30">
        <f t="shared" si="17"/>
        <v>46324</v>
      </c>
      <c r="J66" s="30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30">
        <f t="shared" si="13"/>
        <v>46382</v>
      </c>
      <c r="F67" s="30">
        <f t="shared" si="14"/>
        <v>46377</v>
      </c>
      <c r="G67" s="30">
        <f t="shared" si="15"/>
        <v>46362</v>
      </c>
      <c r="H67" s="30">
        <f t="shared" si="16"/>
        <v>46357</v>
      </c>
      <c r="I67" s="30">
        <f t="shared" si="17"/>
        <v>46327</v>
      </c>
      <c r="J67" s="30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30">
        <f t="shared" si="13"/>
        <v>46385</v>
      </c>
      <c r="F68" s="30">
        <f t="shared" si="14"/>
        <v>46380</v>
      </c>
      <c r="G68" s="30">
        <f t="shared" si="15"/>
        <v>46365</v>
      </c>
      <c r="H68" s="30">
        <f t="shared" si="16"/>
        <v>46360</v>
      </c>
      <c r="I68" s="30">
        <f t="shared" si="17"/>
        <v>46330</v>
      </c>
      <c r="J68" s="30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30">
        <f t="shared" si="13"/>
        <v>46388</v>
      </c>
      <c r="F69" s="30">
        <f t="shared" si="14"/>
        <v>46383</v>
      </c>
      <c r="G69" s="30">
        <f t="shared" si="15"/>
        <v>46368</v>
      </c>
      <c r="H69" s="30">
        <f t="shared" si="16"/>
        <v>46363</v>
      </c>
      <c r="I69" s="30">
        <f t="shared" si="17"/>
        <v>46333</v>
      </c>
      <c r="J69" s="30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30">
        <f t="shared" si="13"/>
        <v>46391</v>
      </c>
      <c r="F70" s="30">
        <f t="shared" si="14"/>
        <v>46386</v>
      </c>
      <c r="G70" s="30">
        <f t="shared" si="15"/>
        <v>46371</v>
      </c>
      <c r="H70" s="30">
        <f t="shared" si="16"/>
        <v>46366</v>
      </c>
      <c r="I70" s="30">
        <f t="shared" si="17"/>
        <v>46336</v>
      </c>
      <c r="J70" s="30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30">
        <f t="shared" si="13"/>
        <v>46394</v>
      </c>
      <c r="F71" s="30">
        <f t="shared" si="14"/>
        <v>46389</v>
      </c>
      <c r="G71" s="30">
        <f t="shared" si="15"/>
        <v>46374</v>
      </c>
      <c r="H71" s="30">
        <f t="shared" si="16"/>
        <v>46369</v>
      </c>
      <c r="I71" s="30">
        <f t="shared" si="17"/>
        <v>46339</v>
      </c>
      <c r="J71" s="30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30">
        <f t="shared" si="13"/>
        <v>46397</v>
      </c>
      <c r="F72" s="30">
        <f t="shared" si="14"/>
        <v>46392</v>
      </c>
      <c r="G72" s="30">
        <f t="shared" si="15"/>
        <v>46377</v>
      </c>
      <c r="H72" s="30">
        <f t="shared" si="16"/>
        <v>46372</v>
      </c>
      <c r="I72" s="30">
        <f t="shared" si="17"/>
        <v>46342</v>
      </c>
      <c r="J72" s="30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30">
        <f t="shared" si="13"/>
        <v>46400</v>
      </c>
      <c r="F73" s="30">
        <f t="shared" si="14"/>
        <v>46395</v>
      </c>
      <c r="G73" s="30">
        <f t="shared" si="15"/>
        <v>46380</v>
      </c>
      <c r="H73" s="30">
        <f t="shared" si="16"/>
        <v>46375</v>
      </c>
      <c r="I73" s="30">
        <f t="shared" si="17"/>
        <v>46345</v>
      </c>
      <c r="J73" s="30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30">
        <f t="shared" si="13"/>
        <v>46403</v>
      </c>
      <c r="F74" s="30">
        <f t="shared" si="14"/>
        <v>46398</v>
      </c>
      <c r="G74" s="30">
        <f t="shared" si="15"/>
        <v>46383</v>
      </c>
      <c r="H74" s="30">
        <f t="shared" si="16"/>
        <v>46378</v>
      </c>
      <c r="I74" s="30">
        <f t="shared" si="17"/>
        <v>46348</v>
      </c>
      <c r="J74" s="30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30">
        <f t="shared" si="13"/>
        <v>46406</v>
      </c>
      <c r="F75" s="30">
        <f t="shared" si="14"/>
        <v>46401</v>
      </c>
      <c r="G75" s="30">
        <f t="shared" si="15"/>
        <v>46386</v>
      </c>
      <c r="H75" s="30">
        <f t="shared" si="16"/>
        <v>46381</v>
      </c>
      <c r="I75" s="30">
        <f t="shared" si="17"/>
        <v>46351</v>
      </c>
      <c r="J75" s="30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30">
        <f t="shared" si="13"/>
        <v>46409</v>
      </c>
      <c r="F76" s="30">
        <f t="shared" si="14"/>
        <v>46404</v>
      </c>
      <c r="G76" s="30">
        <f t="shared" si="15"/>
        <v>46389</v>
      </c>
      <c r="H76" s="30">
        <f t="shared" si="16"/>
        <v>46384</v>
      </c>
      <c r="I76" s="30">
        <f t="shared" si="17"/>
        <v>46354</v>
      </c>
      <c r="J76" s="30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30">
        <f t="shared" si="13"/>
        <v>46412</v>
      </c>
      <c r="F77" s="30">
        <f t="shared" si="14"/>
        <v>46407</v>
      </c>
      <c r="G77" s="30">
        <f t="shared" si="15"/>
        <v>46392</v>
      </c>
      <c r="H77" s="30">
        <f t="shared" si="16"/>
        <v>46387</v>
      </c>
      <c r="I77" s="30">
        <f t="shared" si="17"/>
        <v>46357</v>
      </c>
      <c r="J77" s="30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30">
        <f t="shared" si="13"/>
        <v>46415</v>
      </c>
      <c r="F78" s="30">
        <f t="shared" si="14"/>
        <v>46410</v>
      </c>
      <c r="G78" s="30">
        <f t="shared" si="15"/>
        <v>46395</v>
      </c>
      <c r="H78" s="30">
        <f t="shared" si="16"/>
        <v>46390</v>
      </c>
      <c r="I78" s="30">
        <f t="shared" si="17"/>
        <v>46360</v>
      </c>
      <c r="J78" s="30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30">
        <f t="shared" si="13"/>
        <v>46418</v>
      </c>
      <c r="F79" s="30">
        <f t="shared" si="14"/>
        <v>46413</v>
      </c>
      <c r="G79" s="30">
        <f t="shared" si="15"/>
        <v>46398</v>
      </c>
      <c r="H79" s="30">
        <f t="shared" si="16"/>
        <v>46393</v>
      </c>
      <c r="I79" s="30">
        <f t="shared" si="17"/>
        <v>46363</v>
      </c>
      <c r="J79" s="30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30">
        <f t="shared" si="13"/>
        <v>46421</v>
      </c>
      <c r="F80" s="30">
        <f t="shared" si="14"/>
        <v>46416</v>
      </c>
      <c r="G80" s="30">
        <f t="shared" si="15"/>
        <v>46401</v>
      </c>
      <c r="H80" s="30">
        <f t="shared" si="16"/>
        <v>46396</v>
      </c>
      <c r="I80" s="30">
        <f t="shared" si="17"/>
        <v>46366</v>
      </c>
      <c r="J80" s="30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30">
        <f t="shared" si="13"/>
        <v>46424</v>
      </c>
      <c r="F81" s="30">
        <f t="shared" si="14"/>
        <v>46419</v>
      </c>
      <c r="G81" s="30">
        <f t="shared" si="15"/>
        <v>46404</v>
      </c>
      <c r="H81" s="30">
        <f t="shared" si="16"/>
        <v>46399</v>
      </c>
      <c r="I81" s="30">
        <f t="shared" si="17"/>
        <v>46369</v>
      </c>
      <c r="J81" s="30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30">
        <f t="shared" ref="E82:E113" si="22">$C$4+ROUND((A82-1)*15/MAX($C$5,1),0)</f>
        <v>46427</v>
      </c>
      <c r="F82" s="30">
        <f t="shared" ref="F82:F113" si="23">E82-$C$11</f>
        <v>46422</v>
      </c>
      <c r="G82" s="30">
        <f t="shared" ref="G82:G113" si="24">F82-$C$10</f>
        <v>46407</v>
      </c>
      <c r="H82" s="30">
        <f t="shared" ref="H82:H113" si="25">G82-$C$9</f>
        <v>46402</v>
      </c>
      <c r="I82" s="30">
        <f t="shared" ref="I82:I113" si="26">H82-$C$8</f>
        <v>46372</v>
      </c>
      <c r="J82" s="30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30">
        <f t="shared" si="22"/>
        <v>46430</v>
      </c>
      <c r="F83" s="30">
        <f t="shared" si="23"/>
        <v>46425</v>
      </c>
      <c r="G83" s="30">
        <f t="shared" si="24"/>
        <v>46410</v>
      </c>
      <c r="H83" s="30">
        <f t="shared" si="25"/>
        <v>46405</v>
      </c>
      <c r="I83" s="30">
        <f t="shared" si="26"/>
        <v>46375</v>
      </c>
      <c r="J83" s="30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30">
        <f t="shared" si="22"/>
        <v>46433</v>
      </c>
      <c r="F84" s="30">
        <f t="shared" si="23"/>
        <v>46428</v>
      </c>
      <c r="G84" s="30">
        <f t="shared" si="24"/>
        <v>46413</v>
      </c>
      <c r="H84" s="30">
        <f t="shared" si="25"/>
        <v>46408</v>
      </c>
      <c r="I84" s="30">
        <f t="shared" si="26"/>
        <v>46378</v>
      </c>
      <c r="J84" s="30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30">
        <f t="shared" si="22"/>
        <v>46436</v>
      </c>
      <c r="F85" s="30">
        <f t="shared" si="23"/>
        <v>46431</v>
      </c>
      <c r="G85" s="30">
        <f t="shared" si="24"/>
        <v>46416</v>
      </c>
      <c r="H85" s="30">
        <f t="shared" si="25"/>
        <v>46411</v>
      </c>
      <c r="I85" s="30">
        <f t="shared" si="26"/>
        <v>46381</v>
      </c>
      <c r="J85" s="30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30">
        <f t="shared" si="22"/>
        <v>46439</v>
      </c>
      <c r="F86" s="30">
        <f t="shared" si="23"/>
        <v>46434</v>
      </c>
      <c r="G86" s="30">
        <f t="shared" si="24"/>
        <v>46419</v>
      </c>
      <c r="H86" s="30">
        <f t="shared" si="25"/>
        <v>46414</v>
      </c>
      <c r="I86" s="30">
        <f t="shared" si="26"/>
        <v>46384</v>
      </c>
      <c r="J86" s="30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30">
        <f t="shared" si="22"/>
        <v>46442</v>
      </c>
      <c r="F87" s="30">
        <f t="shared" si="23"/>
        <v>46437</v>
      </c>
      <c r="G87" s="30">
        <f t="shared" si="24"/>
        <v>46422</v>
      </c>
      <c r="H87" s="30">
        <f t="shared" si="25"/>
        <v>46417</v>
      </c>
      <c r="I87" s="30">
        <f t="shared" si="26"/>
        <v>46387</v>
      </c>
      <c r="J87" s="30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30">
        <f t="shared" si="22"/>
        <v>46445</v>
      </c>
      <c r="F88" s="30">
        <f t="shared" si="23"/>
        <v>46440</v>
      </c>
      <c r="G88" s="30">
        <f t="shared" si="24"/>
        <v>46425</v>
      </c>
      <c r="H88" s="30">
        <f t="shared" si="25"/>
        <v>46420</v>
      </c>
      <c r="I88" s="30">
        <f t="shared" si="26"/>
        <v>46390</v>
      </c>
      <c r="J88" s="30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30">
        <f t="shared" si="22"/>
        <v>46448</v>
      </c>
      <c r="F89" s="30">
        <f t="shared" si="23"/>
        <v>46443</v>
      </c>
      <c r="G89" s="30">
        <f t="shared" si="24"/>
        <v>46428</v>
      </c>
      <c r="H89" s="30">
        <f t="shared" si="25"/>
        <v>46423</v>
      </c>
      <c r="I89" s="30">
        <f t="shared" si="26"/>
        <v>46393</v>
      </c>
      <c r="J89" s="30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30">
        <f t="shared" si="22"/>
        <v>46451</v>
      </c>
      <c r="F90" s="30">
        <f t="shared" si="23"/>
        <v>46446</v>
      </c>
      <c r="G90" s="30">
        <f t="shared" si="24"/>
        <v>46431</v>
      </c>
      <c r="H90" s="30">
        <f t="shared" si="25"/>
        <v>46426</v>
      </c>
      <c r="I90" s="30">
        <f t="shared" si="26"/>
        <v>46396</v>
      </c>
      <c r="J90" s="30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30">
        <f t="shared" si="22"/>
        <v>46454</v>
      </c>
      <c r="F91" s="30">
        <f t="shared" si="23"/>
        <v>46449</v>
      </c>
      <c r="G91" s="30">
        <f t="shared" si="24"/>
        <v>46434</v>
      </c>
      <c r="H91" s="30">
        <f t="shared" si="25"/>
        <v>46429</v>
      </c>
      <c r="I91" s="30">
        <f t="shared" si="26"/>
        <v>46399</v>
      </c>
      <c r="J91" s="30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30">
        <f t="shared" si="22"/>
        <v>46457</v>
      </c>
      <c r="F92" s="30">
        <f t="shared" si="23"/>
        <v>46452</v>
      </c>
      <c r="G92" s="30">
        <f t="shared" si="24"/>
        <v>46437</v>
      </c>
      <c r="H92" s="30">
        <f t="shared" si="25"/>
        <v>46432</v>
      </c>
      <c r="I92" s="30">
        <f t="shared" si="26"/>
        <v>46402</v>
      </c>
      <c r="J92" s="30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30">
        <f t="shared" si="22"/>
        <v>46460</v>
      </c>
      <c r="F93" s="30">
        <f t="shared" si="23"/>
        <v>46455</v>
      </c>
      <c r="G93" s="30">
        <f t="shared" si="24"/>
        <v>46440</v>
      </c>
      <c r="H93" s="30">
        <f t="shared" si="25"/>
        <v>46435</v>
      </c>
      <c r="I93" s="30">
        <f t="shared" si="26"/>
        <v>46405</v>
      </c>
      <c r="J93" s="30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30">
        <f t="shared" si="22"/>
        <v>46463</v>
      </c>
      <c r="F94" s="30">
        <f t="shared" si="23"/>
        <v>46458</v>
      </c>
      <c r="G94" s="30">
        <f t="shared" si="24"/>
        <v>46443</v>
      </c>
      <c r="H94" s="30">
        <f t="shared" si="25"/>
        <v>46438</v>
      </c>
      <c r="I94" s="30">
        <f t="shared" si="26"/>
        <v>46408</v>
      </c>
      <c r="J94" s="30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30">
        <f t="shared" si="22"/>
        <v>46466</v>
      </c>
      <c r="F95" s="30">
        <f t="shared" si="23"/>
        <v>46461</v>
      </c>
      <c r="G95" s="30">
        <f t="shared" si="24"/>
        <v>46446</v>
      </c>
      <c r="H95" s="30">
        <f t="shared" si="25"/>
        <v>46441</v>
      </c>
      <c r="I95" s="30">
        <f t="shared" si="26"/>
        <v>46411</v>
      </c>
      <c r="J95" s="30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30">
        <f t="shared" si="22"/>
        <v>46469</v>
      </c>
      <c r="F96" s="30">
        <f t="shared" si="23"/>
        <v>46464</v>
      </c>
      <c r="G96" s="30">
        <f t="shared" si="24"/>
        <v>46449</v>
      </c>
      <c r="H96" s="30">
        <f t="shared" si="25"/>
        <v>46444</v>
      </c>
      <c r="I96" s="30">
        <f t="shared" si="26"/>
        <v>46414</v>
      </c>
      <c r="J96" s="30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30">
        <f t="shared" si="22"/>
        <v>46472</v>
      </c>
      <c r="F97" s="30">
        <f t="shared" si="23"/>
        <v>46467</v>
      </c>
      <c r="G97" s="30">
        <f t="shared" si="24"/>
        <v>46452</v>
      </c>
      <c r="H97" s="30">
        <f t="shared" si="25"/>
        <v>46447</v>
      </c>
      <c r="I97" s="30">
        <f t="shared" si="26"/>
        <v>46417</v>
      </c>
      <c r="J97" s="30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30">
        <f t="shared" si="22"/>
        <v>46475</v>
      </c>
      <c r="F98" s="30">
        <f t="shared" si="23"/>
        <v>46470</v>
      </c>
      <c r="G98" s="30">
        <f t="shared" si="24"/>
        <v>46455</v>
      </c>
      <c r="H98" s="30">
        <f t="shared" si="25"/>
        <v>46450</v>
      </c>
      <c r="I98" s="30">
        <f t="shared" si="26"/>
        <v>46420</v>
      </c>
      <c r="J98" s="30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30">
        <f t="shared" si="22"/>
        <v>46478</v>
      </c>
      <c r="F99" s="30">
        <f t="shared" si="23"/>
        <v>46473</v>
      </c>
      <c r="G99" s="30">
        <f t="shared" si="24"/>
        <v>46458</v>
      </c>
      <c r="H99" s="30">
        <f t="shared" si="25"/>
        <v>46453</v>
      </c>
      <c r="I99" s="30">
        <f t="shared" si="26"/>
        <v>46423</v>
      </c>
      <c r="J99" s="30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30">
        <f t="shared" si="22"/>
        <v>46481</v>
      </c>
      <c r="F100" s="30">
        <f t="shared" si="23"/>
        <v>46476</v>
      </c>
      <c r="G100" s="30">
        <f t="shared" si="24"/>
        <v>46461</v>
      </c>
      <c r="H100" s="30">
        <f t="shared" si="25"/>
        <v>46456</v>
      </c>
      <c r="I100" s="30">
        <f t="shared" si="26"/>
        <v>46426</v>
      </c>
      <c r="J100" s="30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30">
        <f t="shared" si="22"/>
        <v>46484</v>
      </c>
      <c r="F101" s="30">
        <f t="shared" si="23"/>
        <v>46479</v>
      </c>
      <c r="G101" s="30">
        <f t="shared" si="24"/>
        <v>46464</v>
      </c>
      <c r="H101" s="30">
        <f t="shared" si="25"/>
        <v>46459</v>
      </c>
      <c r="I101" s="30">
        <f t="shared" si="26"/>
        <v>46429</v>
      </c>
      <c r="J101" s="30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30">
        <f t="shared" si="22"/>
        <v>46487</v>
      </c>
      <c r="F102" s="30">
        <f t="shared" si="23"/>
        <v>46482</v>
      </c>
      <c r="G102" s="30">
        <f t="shared" si="24"/>
        <v>46467</v>
      </c>
      <c r="H102" s="30">
        <f t="shared" si="25"/>
        <v>46462</v>
      </c>
      <c r="I102" s="30">
        <f t="shared" si="26"/>
        <v>46432</v>
      </c>
      <c r="J102" s="30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30">
        <f t="shared" si="22"/>
        <v>46490</v>
      </c>
      <c r="F103" s="30">
        <f t="shared" si="23"/>
        <v>46485</v>
      </c>
      <c r="G103" s="30">
        <f t="shared" si="24"/>
        <v>46470</v>
      </c>
      <c r="H103" s="30">
        <f t="shared" si="25"/>
        <v>46465</v>
      </c>
      <c r="I103" s="30">
        <f t="shared" si="26"/>
        <v>46435</v>
      </c>
      <c r="J103" s="30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30">
        <f t="shared" si="22"/>
        <v>46493</v>
      </c>
      <c r="F104" s="30">
        <f t="shared" si="23"/>
        <v>46488</v>
      </c>
      <c r="G104" s="30">
        <f t="shared" si="24"/>
        <v>46473</v>
      </c>
      <c r="H104" s="30">
        <f t="shared" si="25"/>
        <v>46468</v>
      </c>
      <c r="I104" s="30">
        <f t="shared" si="26"/>
        <v>46438</v>
      </c>
      <c r="J104" s="30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30">
        <f t="shared" si="22"/>
        <v>46496</v>
      </c>
      <c r="F105" s="30">
        <f t="shared" si="23"/>
        <v>46491</v>
      </c>
      <c r="G105" s="30">
        <f t="shared" si="24"/>
        <v>46476</v>
      </c>
      <c r="H105" s="30">
        <f t="shared" si="25"/>
        <v>46471</v>
      </c>
      <c r="I105" s="30">
        <f t="shared" si="26"/>
        <v>46441</v>
      </c>
      <c r="J105" s="30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30">
        <f t="shared" si="22"/>
        <v>46499</v>
      </c>
      <c r="F106" s="30">
        <f t="shared" si="23"/>
        <v>46494</v>
      </c>
      <c r="G106" s="30">
        <f t="shared" si="24"/>
        <v>46479</v>
      </c>
      <c r="H106" s="30">
        <f t="shared" si="25"/>
        <v>46474</v>
      </c>
      <c r="I106" s="30">
        <f t="shared" si="26"/>
        <v>46444</v>
      </c>
      <c r="J106" s="30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30">
        <f t="shared" si="22"/>
        <v>46502</v>
      </c>
      <c r="F107" s="30">
        <f t="shared" si="23"/>
        <v>46497</v>
      </c>
      <c r="G107" s="30">
        <f t="shared" si="24"/>
        <v>46482</v>
      </c>
      <c r="H107" s="30">
        <f t="shared" si="25"/>
        <v>46477</v>
      </c>
      <c r="I107" s="30">
        <f t="shared" si="26"/>
        <v>46447</v>
      </c>
      <c r="J107" s="30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30">
        <f t="shared" si="22"/>
        <v>46505</v>
      </c>
      <c r="F108" s="30">
        <f t="shared" si="23"/>
        <v>46500</v>
      </c>
      <c r="G108" s="30">
        <f t="shared" si="24"/>
        <v>46485</v>
      </c>
      <c r="H108" s="30">
        <f t="shared" si="25"/>
        <v>46480</v>
      </c>
      <c r="I108" s="30">
        <f t="shared" si="26"/>
        <v>46450</v>
      </c>
      <c r="J108" s="30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30">
        <f t="shared" si="22"/>
        <v>46508</v>
      </c>
      <c r="F109" s="30">
        <f t="shared" si="23"/>
        <v>46503</v>
      </c>
      <c r="G109" s="30">
        <f t="shared" si="24"/>
        <v>46488</v>
      </c>
      <c r="H109" s="30">
        <f t="shared" si="25"/>
        <v>46483</v>
      </c>
      <c r="I109" s="30">
        <f t="shared" si="26"/>
        <v>46453</v>
      </c>
      <c r="J109" s="30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30">
        <f t="shared" si="22"/>
        <v>46511</v>
      </c>
      <c r="F110" s="30">
        <f t="shared" si="23"/>
        <v>46506</v>
      </c>
      <c r="G110" s="30">
        <f t="shared" si="24"/>
        <v>46491</v>
      </c>
      <c r="H110" s="30">
        <f t="shared" si="25"/>
        <v>46486</v>
      </c>
      <c r="I110" s="30">
        <f t="shared" si="26"/>
        <v>46456</v>
      </c>
      <c r="J110" s="30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30">
        <f t="shared" si="22"/>
        <v>46514</v>
      </c>
      <c r="F111" s="30">
        <f t="shared" si="23"/>
        <v>46509</v>
      </c>
      <c r="G111" s="30">
        <f t="shared" si="24"/>
        <v>46494</v>
      </c>
      <c r="H111" s="30">
        <f t="shared" si="25"/>
        <v>46489</v>
      </c>
      <c r="I111" s="30">
        <f t="shared" si="26"/>
        <v>46459</v>
      </c>
      <c r="J111" s="30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30">
        <f t="shared" si="22"/>
        <v>46517</v>
      </c>
      <c r="F112" s="30">
        <f t="shared" si="23"/>
        <v>46512</v>
      </c>
      <c r="G112" s="30">
        <f t="shared" si="24"/>
        <v>46497</v>
      </c>
      <c r="H112" s="30">
        <f t="shared" si="25"/>
        <v>46492</v>
      </c>
      <c r="I112" s="30">
        <f t="shared" si="26"/>
        <v>46462</v>
      </c>
      <c r="J112" s="30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30">
        <f t="shared" si="22"/>
        <v>46520</v>
      </c>
      <c r="F113" s="30">
        <f t="shared" si="23"/>
        <v>46515</v>
      </c>
      <c r="G113" s="30">
        <f t="shared" si="24"/>
        <v>46500</v>
      </c>
      <c r="H113" s="30">
        <f t="shared" si="25"/>
        <v>46495</v>
      </c>
      <c r="I113" s="30">
        <f t="shared" si="26"/>
        <v>46465</v>
      </c>
      <c r="J113" s="30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30">
        <f t="shared" ref="E114:E140" si="32">$C$4+ROUND((A114-1)*15/MAX($C$5,1),0)</f>
        <v>46523</v>
      </c>
      <c r="F114" s="30">
        <f t="shared" ref="F114:F140" si="33">E114-$C$11</f>
        <v>46518</v>
      </c>
      <c r="G114" s="30">
        <f t="shared" ref="G114:G140" si="34">F114-$C$10</f>
        <v>46503</v>
      </c>
      <c r="H114" s="30">
        <f t="shared" ref="H114:H140" si="35">G114-$C$9</f>
        <v>46498</v>
      </c>
      <c r="I114" s="30">
        <f t="shared" ref="I114:I140" si="36">H114-$C$8</f>
        <v>46468</v>
      </c>
      <c r="J114" s="30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30">
        <f t="shared" si="32"/>
        <v>46526</v>
      </c>
      <c r="F115" s="30">
        <f t="shared" si="33"/>
        <v>46521</v>
      </c>
      <c r="G115" s="30">
        <f t="shared" si="34"/>
        <v>46506</v>
      </c>
      <c r="H115" s="30">
        <f t="shared" si="35"/>
        <v>46501</v>
      </c>
      <c r="I115" s="30">
        <f t="shared" si="36"/>
        <v>46471</v>
      </c>
      <c r="J115" s="30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30">
        <f t="shared" si="32"/>
        <v>46529</v>
      </c>
      <c r="F116" s="30">
        <f t="shared" si="33"/>
        <v>46524</v>
      </c>
      <c r="G116" s="30">
        <f t="shared" si="34"/>
        <v>46509</v>
      </c>
      <c r="H116" s="30">
        <f t="shared" si="35"/>
        <v>46504</v>
      </c>
      <c r="I116" s="30">
        <f t="shared" si="36"/>
        <v>46474</v>
      </c>
      <c r="J116" s="30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30">
        <f t="shared" si="32"/>
        <v>46532</v>
      </c>
      <c r="F117" s="30">
        <f t="shared" si="33"/>
        <v>46527</v>
      </c>
      <c r="G117" s="30">
        <f t="shared" si="34"/>
        <v>46512</v>
      </c>
      <c r="H117" s="30">
        <f t="shared" si="35"/>
        <v>46507</v>
      </c>
      <c r="I117" s="30">
        <f t="shared" si="36"/>
        <v>46477</v>
      </c>
      <c r="J117" s="30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30">
        <f t="shared" si="32"/>
        <v>46535</v>
      </c>
      <c r="F118" s="30">
        <f t="shared" si="33"/>
        <v>46530</v>
      </c>
      <c r="G118" s="30">
        <f t="shared" si="34"/>
        <v>46515</v>
      </c>
      <c r="H118" s="30">
        <f t="shared" si="35"/>
        <v>46510</v>
      </c>
      <c r="I118" s="30">
        <f t="shared" si="36"/>
        <v>46480</v>
      </c>
      <c r="J118" s="30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30">
        <f t="shared" si="32"/>
        <v>46538</v>
      </c>
      <c r="F119" s="30">
        <f t="shared" si="33"/>
        <v>46533</v>
      </c>
      <c r="G119" s="30">
        <f t="shared" si="34"/>
        <v>46518</v>
      </c>
      <c r="H119" s="30">
        <f t="shared" si="35"/>
        <v>46513</v>
      </c>
      <c r="I119" s="30">
        <f t="shared" si="36"/>
        <v>46483</v>
      </c>
      <c r="J119" s="30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30">
        <f t="shared" si="32"/>
        <v>46541</v>
      </c>
      <c r="F120" s="30">
        <f t="shared" si="33"/>
        <v>46536</v>
      </c>
      <c r="G120" s="30">
        <f t="shared" si="34"/>
        <v>46521</v>
      </c>
      <c r="H120" s="30">
        <f t="shared" si="35"/>
        <v>46516</v>
      </c>
      <c r="I120" s="30">
        <f t="shared" si="36"/>
        <v>46486</v>
      </c>
      <c r="J120" s="30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30">
        <f t="shared" si="32"/>
        <v>46544</v>
      </c>
      <c r="F121" s="30">
        <f t="shared" si="33"/>
        <v>46539</v>
      </c>
      <c r="G121" s="30">
        <f t="shared" si="34"/>
        <v>46524</v>
      </c>
      <c r="H121" s="30">
        <f t="shared" si="35"/>
        <v>46519</v>
      </c>
      <c r="I121" s="30">
        <f t="shared" si="36"/>
        <v>46489</v>
      </c>
      <c r="J121" s="30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30">
        <f t="shared" si="32"/>
        <v>46547</v>
      </c>
      <c r="F122" s="30">
        <f t="shared" si="33"/>
        <v>46542</v>
      </c>
      <c r="G122" s="30">
        <f t="shared" si="34"/>
        <v>46527</v>
      </c>
      <c r="H122" s="30">
        <f t="shared" si="35"/>
        <v>46522</v>
      </c>
      <c r="I122" s="30">
        <f t="shared" si="36"/>
        <v>46492</v>
      </c>
      <c r="J122" s="30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30">
        <f t="shared" si="32"/>
        <v>46550</v>
      </c>
      <c r="F123" s="30">
        <f t="shared" si="33"/>
        <v>46545</v>
      </c>
      <c r="G123" s="30">
        <f t="shared" si="34"/>
        <v>46530</v>
      </c>
      <c r="H123" s="30">
        <f t="shared" si="35"/>
        <v>46525</v>
      </c>
      <c r="I123" s="30">
        <f t="shared" si="36"/>
        <v>46495</v>
      </c>
      <c r="J123" s="30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30">
        <f t="shared" si="32"/>
        <v>46553</v>
      </c>
      <c r="F124" s="30">
        <f t="shared" si="33"/>
        <v>46548</v>
      </c>
      <c r="G124" s="30">
        <f t="shared" si="34"/>
        <v>46533</v>
      </c>
      <c r="H124" s="30">
        <f t="shared" si="35"/>
        <v>46528</v>
      </c>
      <c r="I124" s="30">
        <f t="shared" si="36"/>
        <v>46498</v>
      </c>
      <c r="J124" s="30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30">
        <f t="shared" si="32"/>
        <v>46556</v>
      </c>
      <c r="F125" s="30">
        <f t="shared" si="33"/>
        <v>46551</v>
      </c>
      <c r="G125" s="30">
        <f t="shared" si="34"/>
        <v>46536</v>
      </c>
      <c r="H125" s="30">
        <f t="shared" si="35"/>
        <v>46531</v>
      </c>
      <c r="I125" s="30">
        <f t="shared" si="36"/>
        <v>46501</v>
      </c>
      <c r="J125" s="30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30">
        <f t="shared" si="32"/>
        <v>46559</v>
      </c>
      <c r="F126" s="30">
        <f t="shared" si="33"/>
        <v>46554</v>
      </c>
      <c r="G126" s="30">
        <f t="shared" si="34"/>
        <v>46539</v>
      </c>
      <c r="H126" s="30">
        <f t="shared" si="35"/>
        <v>46534</v>
      </c>
      <c r="I126" s="30">
        <f t="shared" si="36"/>
        <v>46504</v>
      </c>
      <c r="J126" s="30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30">
        <f t="shared" si="32"/>
        <v>46562</v>
      </c>
      <c r="F127" s="30">
        <f t="shared" si="33"/>
        <v>46557</v>
      </c>
      <c r="G127" s="30">
        <f t="shared" si="34"/>
        <v>46542</v>
      </c>
      <c r="H127" s="30">
        <f t="shared" si="35"/>
        <v>46537</v>
      </c>
      <c r="I127" s="30">
        <f t="shared" si="36"/>
        <v>46507</v>
      </c>
      <c r="J127" s="30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30">
        <f t="shared" si="32"/>
        <v>46565</v>
      </c>
      <c r="F128" s="30">
        <f t="shared" si="33"/>
        <v>46560</v>
      </c>
      <c r="G128" s="30">
        <f t="shared" si="34"/>
        <v>46545</v>
      </c>
      <c r="H128" s="30">
        <f t="shared" si="35"/>
        <v>46540</v>
      </c>
      <c r="I128" s="30">
        <f t="shared" si="36"/>
        <v>46510</v>
      </c>
      <c r="J128" s="30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30">
        <f t="shared" si="32"/>
        <v>46568</v>
      </c>
      <c r="F129" s="30">
        <f t="shared" si="33"/>
        <v>46563</v>
      </c>
      <c r="G129" s="30">
        <f t="shared" si="34"/>
        <v>46548</v>
      </c>
      <c r="H129" s="30">
        <f t="shared" si="35"/>
        <v>46543</v>
      </c>
      <c r="I129" s="30">
        <f t="shared" si="36"/>
        <v>46513</v>
      </c>
      <c r="J129" s="30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30">
        <f t="shared" si="32"/>
        <v>46571</v>
      </c>
      <c r="F130" s="30">
        <f t="shared" si="33"/>
        <v>46566</v>
      </c>
      <c r="G130" s="30">
        <f t="shared" si="34"/>
        <v>46551</v>
      </c>
      <c r="H130" s="30">
        <f t="shared" si="35"/>
        <v>46546</v>
      </c>
      <c r="I130" s="30">
        <f t="shared" si="36"/>
        <v>46516</v>
      </c>
      <c r="J130" s="30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30">
        <f t="shared" si="32"/>
        <v>46574</v>
      </c>
      <c r="F131" s="30">
        <f t="shared" si="33"/>
        <v>46569</v>
      </c>
      <c r="G131" s="30">
        <f t="shared" si="34"/>
        <v>46554</v>
      </c>
      <c r="H131" s="30">
        <f t="shared" si="35"/>
        <v>46549</v>
      </c>
      <c r="I131" s="30">
        <f t="shared" si="36"/>
        <v>46519</v>
      </c>
      <c r="J131" s="30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30">
        <f t="shared" si="32"/>
        <v>46577</v>
      </c>
      <c r="F132" s="30">
        <f t="shared" si="33"/>
        <v>46572</v>
      </c>
      <c r="G132" s="30">
        <f t="shared" si="34"/>
        <v>46557</v>
      </c>
      <c r="H132" s="30">
        <f t="shared" si="35"/>
        <v>46552</v>
      </c>
      <c r="I132" s="30">
        <f t="shared" si="36"/>
        <v>46522</v>
      </c>
      <c r="J132" s="30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30">
        <f t="shared" si="32"/>
        <v>46580</v>
      </c>
      <c r="F133" s="30">
        <f t="shared" si="33"/>
        <v>46575</v>
      </c>
      <c r="G133" s="30">
        <f t="shared" si="34"/>
        <v>46560</v>
      </c>
      <c r="H133" s="30">
        <f t="shared" si="35"/>
        <v>46555</v>
      </c>
      <c r="I133" s="30">
        <f t="shared" si="36"/>
        <v>46525</v>
      </c>
      <c r="J133" s="30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30">
        <f t="shared" si="32"/>
        <v>46583</v>
      </c>
      <c r="F134" s="30">
        <f t="shared" si="33"/>
        <v>46578</v>
      </c>
      <c r="G134" s="30">
        <f t="shared" si="34"/>
        <v>46563</v>
      </c>
      <c r="H134" s="30">
        <f t="shared" si="35"/>
        <v>46558</v>
      </c>
      <c r="I134" s="30">
        <f t="shared" si="36"/>
        <v>46528</v>
      </c>
      <c r="J134" s="30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30">
        <f t="shared" si="32"/>
        <v>46586</v>
      </c>
      <c r="F135" s="30">
        <f t="shared" si="33"/>
        <v>46581</v>
      </c>
      <c r="G135" s="30">
        <f t="shared" si="34"/>
        <v>46566</v>
      </c>
      <c r="H135" s="30">
        <f t="shared" si="35"/>
        <v>46561</v>
      </c>
      <c r="I135" s="30">
        <f t="shared" si="36"/>
        <v>46531</v>
      </c>
      <c r="J135" s="30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30">
        <f t="shared" si="32"/>
        <v>46589</v>
      </c>
      <c r="F136" s="30">
        <f t="shared" si="33"/>
        <v>46584</v>
      </c>
      <c r="G136" s="30">
        <f t="shared" si="34"/>
        <v>46569</v>
      </c>
      <c r="H136" s="30">
        <f t="shared" si="35"/>
        <v>46564</v>
      </c>
      <c r="I136" s="30">
        <f t="shared" si="36"/>
        <v>46534</v>
      </c>
      <c r="J136" s="30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30">
        <f t="shared" si="32"/>
        <v>46592</v>
      </c>
      <c r="F137" s="30">
        <f t="shared" si="33"/>
        <v>46587</v>
      </c>
      <c r="G137" s="30">
        <f t="shared" si="34"/>
        <v>46572</v>
      </c>
      <c r="H137" s="30">
        <f t="shared" si="35"/>
        <v>46567</v>
      </c>
      <c r="I137" s="30">
        <f t="shared" si="36"/>
        <v>46537</v>
      </c>
      <c r="J137" s="30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30">
        <f t="shared" si="32"/>
        <v>46595</v>
      </c>
      <c r="F138" s="30">
        <f t="shared" si="33"/>
        <v>46590</v>
      </c>
      <c r="G138" s="30">
        <f t="shared" si="34"/>
        <v>46575</v>
      </c>
      <c r="H138" s="30">
        <f t="shared" si="35"/>
        <v>46570</v>
      </c>
      <c r="I138" s="30">
        <f t="shared" si="36"/>
        <v>46540</v>
      </c>
      <c r="J138" s="30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30">
        <f t="shared" si="32"/>
        <v>46598</v>
      </c>
      <c r="F139" s="30">
        <f t="shared" si="33"/>
        <v>46593</v>
      </c>
      <c r="G139" s="30">
        <f t="shared" si="34"/>
        <v>46578</v>
      </c>
      <c r="H139" s="30">
        <f t="shared" si="35"/>
        <v>46573</v>
      </c>
      <c r="I139" s="30">
        <f t="shared" si="36"/>
        <v>46543</v>
      </c>
      <c r="J139" s="30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30">
        <f t="shared" si="32"/>
        <v>46601</v>
      </c>
      <c r="F140" s="30">
        <f t="shared" si="33"/>
        <v>46596</v>
      </c>
      <c r="G140" s="30">
        <f t="shared" si="34"/>
        <v>46581</v>
      </c>
      <c r="H140" s="30">
        <f t="shared" si="35"/>
        <v>46576</v>
      </c>
      <c r="I140" s="30">
        <f t="shared" si="36"/>
        <v>46546</v>
      </c>
      <c r="J140" s="30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9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C40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>
        <v>1</v>
      </c>
      <c r="D2" s="13">
        <v>2</v>
      </c>
      <c r="E2" s="13">
        <v>1</v>
      </c>
      <c r="F2" s="14">
        <f t="shared" ref="F2:F39" si="0">SUM(C2:E2)</f>
        <v>4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>
        <v>0</v>
      </c>
      <c r="D3" s="13">
        <v>0</v>
      </c>
      <c r="E3" s="13">
        <v>3</v>
      </c>
      <c r="F3" s="14">
        <f t="shared" si="0"/>
        <v>3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>
        <v>0</v>
      </c>
      <c r="D4" s="13">
        <v>1</v>
      </c>
      <c r="E4" s="13">
        <v>3</v>
      </c>
      <c r="F4" s="14">
        <f t="shared" si="0"/>
        <v>4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>
        <v>0</v>
      </c>
      <c r="D5" s="13">
        <v>0</v>
      </c>
      <c r="E5" s="13">
        <v>1</v>
      </c>
      <c r="F5" s="14">
        <f t="shared" si="0"/>
        <v>1</v>
      </c>
      <c r="G5" s="14"/>
      <c r="H5" s="13"/>
      <c r="I5" s="13"/>
      <c r="J5" s="13"/>
    </row>
    <row r="6" spans="1:10" ht="15" customHeight="1" x14ac:dyDescent="0.25">
      <c r="A6" s="27">
        <v>14046</v>
      </c>
      <c r="B6" s="12" t="s">
        <v>107</v>
      </c>
      <c r="C6" s="13">
        <v>0</v>
      </c>
      <c r="D6" s="13">
        <v>2</v>
      </c>
      <c r="E6" s="13">
        <v>6</v>
      </c>
      <c r="F6" s="14">
        <f t="shared" si="0"/>
        <v>8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>
        <v>0</v>
      </c>
      <c r="D7" s="13">
        <v>0</v>
      </c>
      <c r="E7" s="13">
        <v>1</v>
      </c>
      <c r="F7" s="14">
        <f t="shared" si="0"/>
        <v>1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>
        <v>0</v>
      </c>
      <c r="D8" s="13">
        <v>0</v>
      </c>
      <c r="E8" s="13">
        <v>2</v>
      </c>
      <c r="F8" s="14">
        <f t="shared" si="0"/>
        <v>2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>
        <v>3</v>
      </c>
      <c r="D9" s="13">
        <v>0</v>
      </c>
      <c r="E9" s="13">
        <v>1</v>
      </c>
      <c r="F9" s="14">
        <f t="shared" si="0"/>
        <v>4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>
        <v>0</v>
      </c>
      <c r="D10" s="13">
        <v>1</v>
      </c>
      <c r="E10" s="13">
        <v>3</v>
      </c>
      <c r="F10" s="14">
        <f t="shared" si="0"/>
        <v>4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>
        <v>0</v>
      </c>
      <c r="D11" s="13">
        <v>2</v>
      </c>
      <c r="E11" s="13">
        <v>2</v>
      </c>
      <c r="F11" s="14">
        <f t="shared" si="0"/>
        <v>4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>
        <v>0</v>
      </c>
      <c r="D12" s="13">
        <v>0</v>
      </c>
      <c r="E12" s="13">
        <v>1</v>
      </c>
      <c r="F12" s="14">
        <f t="shared" si="0"/>
        <v>1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>
        <v>1</v>
      </c>
      <c r="D13" s="13">
        <v>0</v>
      </c>
      <c r="E13" s="13">
        <v>1</v>
      </c>
      <c r="F13" s="14">
        <f t="shared" si="0"/>
        <v>2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>
        <v>0</v>
      </c>
      <c r="D14" s="13">
        <v>4</v>
      </c>
      <c r="E14" s="13">
        <v>6</v>
      </c>
      <c r="F14" s="14">
        <f t="shared" si="0"/>
        <v>10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>
        <v>2</v>
      </c>
      <c r="D15" s="13">
        <v>0</v>
      </c>
      <c r="E15" s="13">
        <v>3</v>
      </c>
      <c r="F15" s="14">
        <f t="shared" si="0"/>
        <v>5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>
        <v>0</v>
      </c>
      <c r="D16" s="13">
        <v>1</v>
      </c>
      <c r="E16" s="13">
        <v>11</v>
      </c>
      <c r="F16" s="14">
        <f t="shared" si="0"/>
        <v>12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>
        <v>0</v>
      </c>
      <c r="D17" s="13">
        <v>0</v>
      </c>
      <c r="E17" s="13">
        <v>0</v>
      </c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>
        <v>0</v>
      </c>
      <c r="D18" s="13">
        <v>0</v>
      </c>
      <c r="E18" s="13">
        <v>3</v>
      </c>
      <c r="F18" s="14">
        <f t="shared" si="0"/>
        <v>3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>
        <v>0</v>
      </c>
      <c r="D19" s="13">
        <v>1</v>
      </c>
      <c r="E19" s="13">
        <v>9</v>
      </c>
      <c r="F19" s="14">
        <f t="shared" si="0"/>
        <v>10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>
        <v>2</v>
      </c>
      <c r="D20" s="13">
        <v>0</v>
      </c>
      <c r="E20" s="13">
        <v>3</v>
      </c>
      <c r="F20" s="14">
        <f t="shared" si="0"/>
        <v>5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>
        <v>1</v>
      </c>
      <c r="D21" s="13">
        <v>0</v>
      </c>
      <c r="E21" s="13">
        <v>6</v>
      </c>
      <c r="F21" s="14">
        <f t="shared" si="0"/>
        <v>7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>
        <v>0</v>
      </c>
      <c r="D22" s="13">
        <v>0</v>
      </c>
      <c r="E22" s="13">
        <v>0</v>
      </c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>
        <v>0</v>
      </c>
      <c r="D23" s="13">
        <v>0</v>
      </c>
      <c r="E23" s="13">
        <v>1</v>
      </c>
      <c r="F23" s="14">
        <f t="shared" si="0"/>
        <v>1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>
        <v>1</v>
      </c>
      <c r="D24" s="13">
        <v>0</v>
      </c>
      <c r="E24" s="13">
        <v>0</v>
      </c>
      <c r="F24" s="14">
        <f t="shared" si="0"/>
        <v>1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>
        <v>0</v>
      </c>
      <c r="D25" s="13">
        <v>0</v>
      </c>
      <c r="E25" s="13">
        <v>14</v>
      </c>
      <c r="F25" s="14">
        <f t="shared" si="0"/>
        <v>14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>
        <v>0</v>
      </c>
      <c r="D26" s="13">
        <v>3</v>
      </c>
      <c r="E26" s="13">
        <v>0</v>
      </c>
      <c r="F26" s="14">
        <f t="shared" si="0"/>
        <v>3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>
        <v>0</v>
      </c>
      <c r="D27" s="13">
        <v>0</v>
      </c>
      <c r="E27" s="13">
        <v>0</v>
      </c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>
        <v>0</v>
      </c>
      <c r="D28" s="13">
        <v>0</v>
      </c>
      <c r="E28" s="13">
        <v>0</v>
      </c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>
        <v>1</v>
      </c>
      <c r="D29" s="13">
        <v>0</v>
      </c>
      <c r="E29" s="13">
        <v>0</v>
      </c>
      <c r="F29" s="14">
        <f t="shared" si="0"/>
        <v>1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>
        <v>3</v>
      </c>
      <c r="D30" s="13">
        <v>1</v>
      </c>
      <c r="E30" s="13">
        <v>1</v>
      </c>
      <c r="F30" s="14">
        <f t="shared" si="0"/>
        <v>5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>
        <v>0</v>
      </c>
      <c r="D31" s="13">
        <v>1</v>
      </c>
      <c r="E31" s="13">
        <v>2</v>
      </c>
      <c r="F31" s="14">
        <f t="shared" si="0"/>
        <v>3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>
        <v>0</v>
      </c>
      <c r="D32" s="13">
        <v>0</v>
      </c>
      <c r="E32" s="13">
        <v>3</v>
      </c>
      <c r="F32" s="14">
        <f t="shared" si="0"/>
        <v>3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>
        <v>1</v>
      </c>
      <c r="D33" s="13">
        <v>0</v>
      </c>
      <c r="E33" s="13">
        <v>1</v>
      </c>
      <c r="F33" s="14">
        <f t="shared" si="0"/>
        <v>2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>
        <v>0</v>
      </c>
      <c r="D34" s="13">
        <v>0</v>
      </c>
      <c r="E34" s="13">
        <v>1</v>
      </c>
      <c r="F34" s="14">
        <f t="shared" si="0"/>
        <v>1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>
        <v>0</v>
      </c>
      <c r="D35" s="13">
        <v>1</v>
      </c>
      <c r="E35" s="13">
        <v>0</v>
      </c>
      <c r="F35" s="14">
        <f t="shared" si="0"/>
        <v>1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>
        <v>1</v>
      </c>
      <c r="D36" s="13">
        <v>1</v>
      </c>
      <c r="E36" s="13">
        <v>4</v>
      </c>
      <c r="F36" s="14">
        <f t="shared" si="0"/>
        <v>6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>
        <v>1</v>
      </c>
      <c r="D37" s="13">
        <v>0</v>
      </c>
      <c r="E37" s="13">
        <v>0</v>
      </c>
      <c r="F37" s="14">
        <f t="shared" si="0"/>
        <v>1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>
        <v>0</v>
      </c>
      <c r="D38" s="13">
        <v>1</v>
      </c>
      <c r="E38" s="13">
        <v>8</v>
      </c>
      <c r="F38" s="14">
        <f t="shared" si="0"/>
        <v>9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>
        <v>0</v>
      </c>
      <c r="D39" s="13">
        <v>1</v>
      </c>
      <c r="E39" s="13">
        <v>6</v>
      </c>
      <c r="F39" s="14">
        <f t="shared" si="0"/>
        <v>7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BDD_SUIVI_CHANTIERS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2026-08-03T14:56:07Z</dcterms:modified>
  <cp:category/>
  <cp:contentStatus/>
</cp:coreProperties>
</file>